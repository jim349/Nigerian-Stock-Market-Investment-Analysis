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Dictionary" sheetId="1" r:id="rId5"/>
    <sheet state="visible" name="RAW_DATA" sheetId="2" r:id="rId6"/>
    <sheet state="visible" name="COMPANY SUMMARY" sheetId="3" r:id="rId7"/>
    <sheet state="visible" name="Sheet10" sheetId="4" r:id="rId8"/>
    <sheet state="visible" name="RATIOS" sheetId="5" r:id="rId9"/>
    <sheet state="visible" name="INVESTMENT_NOTES" sheetId="6" r:id="rId10"/>
  </sheets>
  <definedNames/>
  <calcPr/>
</workbook>
</file>

<file path=xl/sharedStrings.xml><?xml version="1.0" encoding="utf-8"?>
<sst xmlns="http://schemas.openxmlformats.org/spreadsheetml/2006/main" count="381" uniqueCount="138">
  <si>
    <t>Column Name</t>
  </si>
  <si>
    <t>Description</t>
  </si>
  <si>
    <t>Formula</t>
  </si>
  <si>
    <t>Why It Matters</t>
  </si>
  <si>
    <t>ROE</t>
  </si>
  <si>
    <t>Return on Equity</t>
  </si>
  <si>
    <t>PAT ÷ Equity</t>
  </si>
  <si>
    <t>Measures profitability for shareholders</t>
  </si>
  <si>
    <t>ROA</t>
  </si>
  <si>
    <t>Return on Assets</t>
  </si>
  <si>
    <t>PAT ÷ Assets</t>
  </si>
  <si>
    <t>Measures efficiency</t>
  </si>
  <si>
    <t>Debt-to-Equity</t>
  </si>
  <si>
    <t>Liabilities ÷ Equity</t>
  </si>
  <si>
    <t>Measures leverage</t>
  </si>
  <si>
    <t>Asset Growth</t>
  </si>
  <si>
    <t>Year-on-Year Asset Change</t>
  </si>
  <si>
    <t>((Current−Previous)/Previous)×100</t>
  </si>
  <si>
    <t>Shows expansion</t>
  </si>
  <si>
    <t>Profit Growth</t>
  </si>
  <si>
    <t>Year-on-Year Profit Change</t>
  </si>
  <si>
    <t>Shows earnings trend</t>
  </si>
  <si>
    <t>years profitable</t>
  </si>
  <si>
    <t>Counts how many years the company made a profit.</t>
  </si>
  <si>
    <t>dividend years</t>
  </si>
  <si>
    <t>Counts the number of years dividends were actually paid.</t>
  </si>
  <si>
    <t>COMPANY</t>
  </si>
  <si>
    <t>TICKER</t>
  </si>
  <si>
    <t>SECTOR</t>
  </si>
  <si>
    <t>YEAR</t>
  </si>
  <si>
    <t>TOTAL ASSETS</t>
  </si>
  <si>
    <t>TOTAL LIABILITES</t>
  </si>
  <si>
    <t>TOTAL EQUITY</t>
  </si>
  <si>
    <t>PROFIT BEFORE TAX</t>
  </si>
  <si>
    <t>PROFIT AFTER TAX</t>
  </si>
  <si>
    <t>NET INTEREST INCOME</t>
  </si>
  <si>
    <t>FEES &amp; COMMISION INCOME</t>
  </si>
  <si>
    <t>BASIC EPS(EARNINGS PER SHARE)</t>
  </si>
  <si>
    <t>DPS(DIVIDEND PER SHARE)</t>
  </si>
  <si>
    <t>RETAINED EARNINGS</t>
  </si>
  <si>
    <t>SOURCE</t>
  </si>
  <si>
    <t>Guaranty Trust Holding Company</t>
  </si>
  <si>
    <t>GTCO</t>
  </si>
  <si>
    <t>Banking</t>
  </si>
  <si>
    <t>GTCO Annual Report 2021</t>
  </si>
  <si>
    <t>GTCO Annual Report 2022</t>
  </si>
  <si>
    <t>GTCO Annual Report 2023</t>
  </si>
  <si>
    <t>GTCO Annual Report 2024</t>
  </si>
  <si>
    <t>GTCO Annual Report 2025</t>
  </si>
  <si>
    <t>Zenith Bank</t>
  </si>
  <si>
    <t>ZENITH BANK</t>
  </si>
  <si>
    <t>ZENITH Annual Report 2021</t>
  </si>
  <si>
    <t>ZENITH Annual Report 2022</t>
  </si>
  <si>
    <t>ZENITH Annual Report 2023</t>
  </si>
  <si>
    <t>ZENITH Annual Report 2024</t>
  </si>
  <si>
    <t>ZENITH Annual Report 2025</t>
  </si>
  <si>
    <t>MTN Nigeria Communications Network</t>
  </si>
  <si>
    <t>MTN</t>
  </si>
  <si>
    <t>Telecomunication</t>
  </si>
  <si>
    <t>N/A</t>
  </si>
  <si>
    <t>MTN Annual Report 2021</t>
  </si>
  <si>
    <t>MTN Annual Report 2022</t>
  </si>
  <si>
    <t>MTN Annual Report 2023</t>
  </si>
  <si>
    <t>MTN Annual Report 2024</t>
  </si>
  <si>
    <t>MTN Annual Report 2025</t>
  </si>
  <si>
    <t>Presco</t>
  </si>
  <si>
    <t>PRESCO</t>
  </si>
  <si>
    <t>Agriculture</t>
  </si>
  <si>
    <t>PRESCO Annual Report 2021</t>
  </si>
  <si>
    <t>not included</t>
  </si>
  <si>
    <t>PRESCO Annual Report 2022</t>
  </si>
  <si>
    <t>PRESCO Annual Report 2023</t>
  </si>
  <si>
    <t>PRESCO Annual Report 2024</t>
  </si>
  <si>
    <t>PRESCO Annual Report 2025</t>
  </si>
  <si>
    <t>Dangote Cement</t>
  </si>
  <si>
    <t>DANGCEM</t>
  </si>
  <si>
    <t>Industrial Goods</t>
  </si>
  <si>
    <t>Dangote Cement Plc 2021 annual report</t>
  </si>
  <si>
    <t>Dangote Cement Plc 2022 annual report</t>
  </si>
  <si>
    <t>Dangote Cement Plc 2023 annual report</t>
  </si>
  <si>
    <t>Dangote Cement Plc 2024 annual report</t>
  </si>
  <si>
    <t>Dangote Cement Plc 2025 annual report</t>
  </si>
  <si>
    <t>Seplat Energy</t>
  </si>
  <si>
    <t>SEPLAT</t>
  </si>
  <si>
    <t>Oil &amp; Gas</t>
  </si>
  <si>
    <t>SEPLAT Annual Report 2021</t>
  </si>
  <si>
    <t>SEPLAT Annual Report 2022</t>
  </si>
  <si>
    <t>SEPLAT Annual Report 2023</t>
  </si>
  <si>
    <t>SEPLAT Annual Report 2024</t>
  </si>
  <si>
    <t>SEPLAT Annual Report 2025</t>
  </si>
  <si>
    <t>LIMITATIONS</t>
  </si>
  <si>
    <t>N.B</t>
  </si>
  <si>
    <t>All financial statement figures are reported in Nigerian Naira as presented in the respective annual reports unless otherwise stated. EPS is reported in the unit disclosed by each company's annual report.</t>
  </si>
  <si>
    <t>Seplat Energy declares dividends in US dollars. Dividend per share figures were converted to Nigerian Naira using the CBN official year-end exchange rate for each respective year to maintain consistency across companies."</t>
  </si>
  <si>
    <t>Presco's 2021 Annual Report is the first to present consolidated Group financial statements following the acquisition of Siat Nigeria Limited. Consequently, no Group comparative figures are available for 2020, and only the Parent Company financial statements are presented for that year</t>
  </si>
  <si>
    <t>Presco's 2021 report was the first to present consolidated Group financial statements following the acquisition of Siat Nigeria Limited. Additionally, Dividend Per Share (DPS) was not consistently disclosed in earlier reports; therefore, only reported DPS values were included.</t>
  </si>
  <si>
    <t>AVG ROE(%)</t>
  </si>
  <si>
    <t>AVG ROA(%)</t>
  </si>
  <si>
    <t>AVG Debt/Equity</t>
  </si>
  <si>
    <t>AVG Equity Ratio(%)</t>
  </si>
  <si>
    <t>AVG Asset Growth(%)</t>
  </si>
  <si>
    <t>AVG Profit Growth(%)</t>
  </si>
  <si>
    <t>AVG EPS(#)</t>
  </si>
  <si>
    <t>AVG DPS(#)</t>
  </si>
  <si>
    <t>TOTAL PAT(#)</t>
  </si>
  <si>
    <t>AVG PAT(#)</t>
  </si>
  <si>
    <t>Total Assets(#)</t>
  </si>
  <si>
    <t>AVG Total Assets(#)</t>
  </si>
  <si>
    <t>Years Profitable</t>
  </si>
  <si>
    <t>Dividend Years</t>
  </si>
  <si>
    <t>Highest EPS</t>
  </si>
  <si>
    <t>Highest DPS</t>
  </si>
  <si>
    <t>Highest ROE</t>
  </si>
  <si>
    <t>Highest Profit Growth</t>
  </si>
  <si>
    <t>Highest Assets Growth</t>
  </si>
  <si>
    <t>Profitability Score</t>
  </si>
  <si>
    <t>Growth Score</t>
  </si>
  <si>
    <t>Financial Health Score</t>
  </si>
  <si>
    <t>OVERALL INVESTMENT SCORE</t>
  </si>
  <si>
    <t>Seplat</t>
  </si>
  <si>
    <t>ROE SCORE</t>
  </si>
  <si>
    <t>ROA SCORE</t>
  </si>
  <si>
    <t>EPS SCORE</t>
  </si>
  <si>
    <t>DPS SCORE</t>
  </si>
  <si>
    <t>ASSET GROWTH SCORE</t>
  </si>
  <si>
    <t>PROFIT GROWTH SCORE</t>
  </si>
  <si>
    <t>EQUTY SCORE</t>
  </si>
  <si>
    <t>DEBT SCORE</t>
  </si>
  <si>
    <t>ROE(%)</t>
  </si>
  <si>
    <t>ROA(%)</t>
  </si>
  <si>
    <t>BEBT-TO-EQUITY</t>
  </si>
  <si>
    <t>EQUITY RATIO(%)</t>
  </si>
  <si>
    <t>ASSET GROWTH(%)</t>
  </si>
  <si>
    <t>PROFIT GROWTH(%)</t>
  </si>
  <si>
    <t>SUMMARY</t>
  </si>
  <si>
    <t>RECOMMENDATIONS</t>
  </si>
  <si>
    <t>Profitability weakened compared to 2020 as ROE and ROA declined. However, the bank remained highly profitable and maintained a strong capital position. Overall financial health remained solid.</t>
  </si>
  <si>
    <t>Hold/Buy on weakness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</si>
</sst>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
  </numFmts>
  <fonts count="5">
    <font>
      <sz val="10.0"/>
      <color rgb="FF000000"/>
      <name val="Arial"/>
      <scheme val="minor"/>
    </font>
    <font>
      <color theme="1"/>
      <name val="Arial"/>
      <scheme val="minor"/>
    </font>
    <font>
      <b/>
      <color theme="1"/>
      <name val="Arial"/>
      <scheme val="minor"/>
    </font>
    <font>
      <sz val="10.0"/>
      <color rgb="FF2A2E2D"/>
      <name val="&quot;Nunito Sans&quot;"/>
    </font>
    <font>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horizontal="center" readingOrder="0"/>
    </xf>
    <xf borderId="0" fillId="0" fontId="2" numFmtId="0" xfId="0" applyAlignment="1" applyFont="1">
      <alignment horizontal="center"/>
    </xf>
    <xf borderId="0" fillId="0" fontId="1" numFmtId="3" xfId="0" applyAlignment="1" applyFont="1" applyNumberFormat="1">
      <alignment readingOrder="0"/>
    </xf>
    <xf borderId="0" fillId="0" fontId="1" numFmtId="0" xfId="0" applyAlignment="1" applyFont="1">
      <alignment horizontal="right" readingOrder="0"/>
    </xf>
    <xf borderId="0" fillId="0" fontId="3" numFmtId="0" xfId="0" applyAlignment="1" applyFont="1">
      <alignment readingOrder="0"/>
    </xf>
    <xf borderId="0" fillId="0" fontId="1" numFmtId="164" xfId="0" applyAlignment="1" applyFont="1" applyNumberFormat="1">
      <alignment readingOrder="0"/>
    </xf>
    <xf borderId="0" fillId="0" fontId="2" numFmtId="10" xfId="0" applyAlignment="1" applyFont="1" applyNumberFormat="1">
      <alignment horizontal="center" readingOrder="0"/>
    </xf>
    <xf borderId="0" fillId="0" fontId="1" numFmtId="0" xfId="0" applyFont="1"/>
    <xf borderId="0" fillId="0" fontId="1" numFmtId="164" xfId="0" applyFont="1" applyNumberFormat="1"/>
    <xf borderId="0" fillId="0" fontId="1" numFmtId="10" xfId="0" applyFont="1" applyNumberFormat="1"/>
    <xf borderId="0" fillId="0"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15.25"/>
    <col customWidth="1" min="4" max="4" width="16.88"/>
  </cols>
  <sheetData>
    <row r="1">
      <c r="A1" s="1" t="s">
        <v>0</v>
      </c>
      <c r="B1" s="2" t="s">
        <v>1</v>
      </c>
      <c r="C1" s="2" t="s">
        <v>2</v>
      </c>
      <c r="D1" s="2" t="s">
        <v>3</v>
      </c>
    </row>
    <row r="2">
      <c r="A2" s="1" t="s">
        <v>4</v>
      </c>
      <c r="B2" s="2" t="s">
        <v>5</v>
      </c>
      <c r="C2" s="2" t="s">
        <v>6</v>
      </c>
      <c r="D2" s="2" t="s">
        <v>7</v>
      </c>
    </row>
    <row r="3">
      <c r="A3" s="1" t="s">
        <v>8</v>
      </c>
      <c r="B3" s="2" t="s">
        <v>9</v>
      </c>
      <c r="C3" s="2" t="s">
        <v>10</v>
      </c>
      <c r="D3" s="1" t="s">
        <v>11</v>
      </c>
    </row>
    <row r="4">
      <c r="A4" s="1" t="s">
        <v>12</v>
      </c>
      <c r="B4" s="2" t="s">
        <v>13</v>
      </c>
      <c r="C4" s="2" t="s">
        <v>13</v>
      </c>
      <c r="D4" s="1" t="s">
        <v>14</v>
      </c>
    </row>
    <row r="5">
      <c r="A5" s="1" t="s">
        <v>15</v>
      </c>
      <c r="B5" s="2" t="s">
        <v>16</v>
      </c>
      <c r="C5" s="2" t="s">
        <v>17</v>
      </c>
      <c r="D5" s="1" t="s">
        <v>18</v>
      </c>
    </row>
    <row r="6">
      <c r="A6" s="1" t="s">
        <v>19</v>
      </c>
      <c r="B6" s="2" t="s">
        <v>20</v>
      </c>
      <c r="C6" s="2" t="s">
        <v>17</v>
      </c>
      <c r="D6" s="1" t="s">
        <v>21</v>
      </c>
    </row>
    <row r="7">
      <c r="A7" s="1" t="s">
        <v>22</v>
      </c>
      <c r="B7" s="3"/>
      <c r="C7" s="3"/>
      <c r="D7" s="2" t="s">
        <v>23</v>
      </c>
    </row>
    <row r="8">
      <c r="A8" s="1" t="s">
        <v>24</v>
      </c>
      <c r="B8" s="3"/>
      <c r="C8" s="3"/>
      <c r="D8" s="2" t="s">
        <v>25</v>
      </c>
    </row>
    <row r="9">
      <c r="B9" s="3"/>
      <c r="C9" s="3"/>
      <c r="D9" s="3"/>
    </row>
    <row r="10">
      <c r="B10" s="3"/>
      <c r="C10" s="3"/>
      <c r="D10" s="3"/>
    </row>
    <row r="11">
      <c r="B11" s="3"/>
      <c r="C11" s="3"/>
      <c r="D11" s="3"/>
    </row>
    <row r="12">
      <c r="B12" s="3"/>
      <c r="C12" s="3"/>
      <c r="D12" s="3"/>
    </row>
    <row r="13">
      <c r="B13" s="3"/>
      <c r="C13" s="3"/>
      <c r="D13" s="3"/>
    </row>
    <row r="14">
      <c r="B14" s="3"/>
      <c r="C14" s="3"/>
      <c r="D14" s="3"/>
    </row>
    <row r="15">
      <c r="B15" s="3"/>
      <c r="C15" s="3"/>
      <c r="D15" s="3"/>
    </row>
    <row r="16">
      <c r="B16" s="3"/>
      <c r="C16" s="3"/>
      <c r="D16" s="3"/>
    </row>
    <row r="17">
      <c r="B17" s="3"/>
      <c r="C17" s="3"/>
      <c r="D17" s="3"/>
    </row>
    <row r="18">
      <c r="B18" s="3"/>
      <c r="C18" s="3"/>
      <c r="D18" s="3"/>
    </row>
    <row r="19">
      <c r="B19" s="3"/>
      <c r="C19" s="3"/>
      <c r="D19" s="3"/>
    </row>
    <row r="20">
      <c r="B20" s="3"/>
      <c r="C20" s="3"/>
      <c r="D20" s="3"/>
    </row>
    <row r="21">
      <c r="B21" s="3"/>
      <c r="C21" s="3"/>
      <c r="D21" s="3"/>
    </row>
    <row r="22">
      <c r="B22" s="3"/>
      <c r="C22" s="3"/>
      <c r="D22" s="3"/>
    </row>
    <row r="23">
      <c r="B23" s="3"/>
      <c r="C23" s="3"/>
      <c r="D23" s="3"/>
    </row>
    <row r="24">
      <c r="B24" s="3"/>
      <c r="C24" s="3"/>
      <c r="D24" s="3"/>
    </row>
    <row r="25">
      <c r="B25" s="3"/>
      <c r="C25" s="3"/>
      <c r="D25" s="3"/>
    </row>
    <row r="26">
      <c r="B26" s="3"/>
      <c r="C26" s="3"/>
      <c r="D26" s="3"/>
    </row>
    <row r="27">
      <c r="B27" s="3"/>
      <c r="C27" s="3"/>
      <c r="D27" s="3"/>
    </row>
    <row r="28">
      <c r="B28" s="3"/>
      <c r="C28" s="3"/>
      <c r="D28" s="3"/>
    </row>
    <row r="29">
      <c r="B29" s="3"/>
      <c r="C29" s="3"/>
      <c r="D29" s="3"/>
    </row>
    <row r="30">
      <c r="B30" s="3"/>
      <c r="C30" s="3"/>
      <c r="D30" s="3"/>
    </row>
    <row r="31">
      <c r="B31" s="3"/>
      <c r="C31" s="3"/>
      <c r="D31" s="3"/>
    </row>
    <row r="32">
      <c r="B32" s="3"/>
      <c r="C32" s="3"/>
      <c r="D32" s="3"/>
    </row>
    <row r="33">
      <c r="B33" s="3"/>
      <c r="C33" s="3"/>
      <c r="D33" s="3"/>
    </row>
    <row r="34">
      <c r="B34" s="3"/>
      <c r="C34" s="3"/>
      <c r="D34" s="3"/>
    </row>
    <row r="35">
      <c r="B35" s="3"/>
      <c r="C35" s="3"/>
      <c r="D35" s="3"/>
    </row>
    <row r="36">
      <c r="B36" s="3"/>
      <c r="C36" s="3"/>
      <c r="D36" s="3"/>
    </row>
    <row r="37">
      <c r="B37" s="3"/>
      <c r="C37" s="3"/>
      <c r="D37" s="3"/>
    </row>
    <row r="38">
      <c r="B38" s="3"/>
      <c r="C38" s="3"/>
      <c r="D38" s="3"/>
    </row>
    <row r="39">
      <c r="B39" s="3"/>
      <c r="C39" s="3"/>
      <c r="D39" s="3"/>
    </row>
    <row r="40">
      <c r="B40" s="3"/>
      <c r="C40" s="3"/>
      <c r="D40" s="3"/>
    </row>
    <row r="41">
      <c r="B41" s="3"/>
      <c r="C41" s="3"/>
      <c r="D41" s="3"/>
    </row>
    <row r="42">
      <c r="B42" s="3"/>
      <c r="C42" s="3"/>
      <c r="D42" s="3"/>
    </row>
    <row r="43">
      <c r="B43" s="3"/>
      <c r="C43" s="3"/>
      <c r="D43" s="3"/>
    </row>
    <row r="44">
      <c r="B44" s="3"/>
      <c r="C44" s="3"/>
      <c r="D44" s="3"/>
    </row>
    <row r="45">
      <c r="B45" s="3"/>
      <c r="C45" s="3"/>
      <c r="D45" s="3"/>
    </row>
    <row r="46">
      <c r="B46" s="3"/>
      <c r="C46" s="3"/>
      <c r="D46" s="3"/>
    </row>
    <row r="47">
      <c r="B47" s="3"/>
      <c r="C47" s="3"/>
      <c r="D47" s="3"/>
    </row>
    <row r="48">
      <c r="B48" s="3"/>
      <c r="C48" s="3"/>
      <c r="D48" s="3"/>
    </row>
    <row r="49">
      <c r="B49" s="3"/>
      <c r="C49" s="3"/>
      <c r="D49" s="3"/>
    </row>
    <row r="50">
      <c r="B50" s="3"/>
      <c r="C50" s="3"/>
      <c r="D50" s="3"/>
    </row>
    <row r="51">
      <c r="B51" s="3"/>
      <c r="C51" s="3"/>
      <c r="D51" s="3"/>
    </row>
    <row r="52">
      <c r="B52" s="3"/>
      <c r="C52" s="3"/>
      <c r="D52" s="3"/>
    </row>
    <row r="53">
      <c r="B53" s="3"/>
      <c r="C53" s="3"/>
      <c r="D53" s="3"/>
    </row>
    <row r="54">
      <c r="B54" s="3"/>
      <c r="C54" s="3"/>
      <c r="D54" s="3"/>
    </row>
    <row r="55">
      <c r="B55" s="3"/>
      <c r="C55" s="3"/>
      <c r="D55" s="3"/>
    </row>
    <row r="56">
      <c r="B56" s="3"/>
      <c r="C56" s="3"/>
      <c r="D56" s="3"/>
    </row>
    <row r="57">
      <c r="B57" s="3"/>
      <c r="C57" s="3"/>
      <c r="D57" s="3"/>
    </row>
    <row r="58">
      <c r="B58" s="3"/>
      <c r="C58" s="3"/>
      <c r="D58" s="3"/>
    </row>
    <row r="59">
      <c r="B59" s="3"/>
      <c r="C59" s="3"/>
      <c r="D59" s="3"/>
    </row>
    <row r="60">
      <c r="B60" s="3"/>
      <c r="C60" s="3"/>
      <c r="D60" s="3"/>
    </row>
    <row r="61">
      <c r="B61" s="3"/>
      <c r="C61" s="3"/>
      <c r="D61" s="3"/>
    </row>
    <row r="62">
      <c r="B62" s="3"/>
      <c r="C62" s="3"/>
      <c r="D62" s="3"/>
    </row>
    <row r="63">
      <c r="B63" s="3"/>
      <c r="C63" s="3"/>
      <c r="D63" s="3"/>
    </row>
    <row r="64">
      <c r="B64" s="3"/>
      <c r="C64" s="3"/>
      <c r="D64" s="3"/>
    </row>
    <row r="65">
      <c r="B65" s="3"/>
      <c r="C65" s="3"/>
      <c r="D65" s="3"/>
    </row>
    <row r="66">
      <c r="B66" s="3"/>
      <c r="C66" s="3"/>
      <c r="D66" s="3"/>
    </row>
    <row r="67">
      <c r="B67" s="3"/>
      <c r="C67" s="3"/>
      <c r="D67" s="3"/>
    </row>
    <row r="68">
      <c r="B68" s="3"/>
      <c r="C68" s="3"/>
      <c r="D68" s="3"/>
    </row>
    <row r="69">
      <c r="B69" s="3"/>
      <c r="C69" s="3"/>
      <c r="D69" s="3"/>
    </row>
    <row r="70">
      <c r="B70" s="3"/>
      <c r="C70" s="3"/>
      <c r="D70" s="3"/>
    </row>
    <row r="71">
      <c r="B71" s="3"/>
      <c r="C71" s="3"/>
      <c r="D71" s="3"/>
    </row>
    <row r="72">
      <c r="B72" s="3"/>
      <c r="C72" s="3"/>
      <c r="D72" s="3"/>
    </row>
    <row r="73">
      <c r="B73" s="3"/>
      <c r="C73" s="3"/>
      <c r="D73" s="3"/>
    </row>
    <row r="74">
      <c r="B74" s="3"/>
      <c r="C74" s="3"/>
      <c r="D74" s="3"/>
    </row>
    <row r="75">
      <c r="B75" s="3"/>
      <c r="C75" s="3"/>
      <c r="D75" s="3"/>
    </row>
    <row r="76">
      <c r="B76" s="3"/>
      <c r="C76" s="3"/>
      <c r="D76" s="3"/>
    </row>
    <row r="77">
      <c r="B77" s="3"/>
      <c r="C77" s="3"/>
      <c r="D77" s="3"/>
    </row>
    <row r="78">
      <c r="B78" s="3"/>
      <c r="C78" s="3"/>
      <c r="D78" s="3"/>
    </row>
    <row r="79">
      <c r="B79" s="3"/>
      <c r="C79" s="3"/>
      <c r="D79" s="3"/>
    </row>
    <row r="80">
      <c r="B80" s="3"/>
      <c r="C80" s="3"/>
      <c r="D80" s="3"/>
    </row>
    <row r="81">
      <c r="B81" s="3"/>
      <c r="C81" s="3"/>
      <c r="D81" s="3"/>
    </row>
    <row r="82">
      <c r="B82" s="3"/>
      <c r="C82" s="3"/>
      <c r="D82" s="3"/>
    </row>
    <row r="83">
      <c r="B83" s="3"/>
      <c r="C83" s="3"/>
      <c r="D83" s="3"/>
    </row>
    <row r="84">
      <c r="B84" s="3"/>
      <c r="C84" s="3"/>
      <c r="D84" s="3"/>
    </row>
    <row r="85">
      <c r="B85" s="3"/>
      <c r="C85" s="3"/>
      <c r="D85" s="3"/>
    </row>
    <row r="86">
      <c r="B86" s="3"/>
      <c r="C86" s="3"/>
      <c r="D86" s="3"/>
    </row>
    <row r="87">
      <c r="B87" s="3"/>
      <c r="C87" s="3"/>
      <c r="D87" s="3"/>
    </row>
    <row r="88">
      <c r="B88" s="3"/>
      <c r="C88" s="3"/>
      <c r="D88" s="3"/>
    </row>
    <row r="89">
      <c r="B89" s="3"/>
      <c r="C89" s="3"/>
      <c r="D89" s="3"/>
    </row>
    <row r="90">
      <c r="B90" s="3"/>
      <c r="C90" s="3"/>
      <c r="D90" s="3"/>
    </row>
    <row r="91">
      <c r="B91" s="3"/>
      <c r="C91" s="3"/>
      <c r="D91" s="3"/>
    </row>
    <row r="92">
      <c r="B92" s="3"/>
      <c r="C92" s="3"/>
      <c r="D92" s="3"/>
    </row>
    <row r="93">
      <c r="B93" s="3"/>
      <c r="C93" s="3"/>
      <c r="D93" s="3"/>
    </row>
    <row r="94">
      <c r="B94" s="3"/>
      <c r="C94" s="3"/>
      <c r="D94" s="3"/>
    </row>
    <row r="95">
      <c r="B95" s="3"/>
      <c r="C95" s="3"/>
      <c r="D95" s="3"/>
    </row>
    <row r="96">
      <c r="B96" s="3"/>
      <c r="C96" s="3"/>
      <c r="D96" s="3"/>
    </row>
    <row r="97">
      <c r="B97" s="3"/>
      <c r="C97" s="3"/>
      <c r="D97" s="3"/>
    </row>
    <row r="98">
      <c r="B98" s="3"/>
      <c r="C98" s="3"/>
      <c r="D98" s="3"/>
    </row>
    <row r="99">
      <c r="B99" s="3"/>
      <c r="C99" s="3"/>
      <c r="D99" s="3"/>
    </row>
    <row r="100">
      <c r="B100" s="3"/>
      <c r="C100" s="3"/>
      <c r="D100" s="3"/>
    </row>
    <row r="101">
      <c r="B101" s="3"/>
      <c r="C101" s="3"/>
      <c r="D101" s="3"/>
    </row>
    <row r="102">
      <c r="B102" s="3"/>
      <c r="C102" s="3"/>
      <c r="D102" s="3"/>
    </row>
    <row r="103">
      <c r="B103" s="3"/>
      <c r="C103" s="3"/>
      <c r="D103" s="3"/>
    </row>
    <row r="104">
      <c r="B104" s="3"/>
      <c r="C104" s="3"/>
      <c r="D104" s="3"/>
    </row>
    <row r="105">
      <c r="B105" s="3"/>
      <c r="C105" s="3"/>
      <c r="D105" s="3"/>
    </row>
    <row r="106">
      <c r="B106" s="3"/>
      <c r="C106" s="3"/>
      <c r="D106" s="3"/>
    </row>
    <row r="107">
      <c r="B107" s="3"/>
      <c r="C107" s="3"/>
      <c r="D107" s="3"/>
    </row>
    <row r="108">
      <c r="B108" s="3"/>
      <c r="C108" s="3"/>
      <c r="D108" s="3"/>
    </row>
    <row r="109">
      <c r="B109" s="3"/>
      <c r="C109" s="3"/>
      <c r="D109" s="3"/>
    </row>
    <row r="110">
      <c r="B110" s="3"/>
      <c r="C110" s="3"/>
      <c r="D110" s="3"/>
    </row>
    <row r="111">
      <c r="B111" s="3"/>
      <c r="C111" s="3"/>
      <c r="D111" s="3"/>
    </row>
    <row r="112">
      <c r="B112" s="3"/>
      <c r="C112" s="3"/>
      <c r="D112" s="3"/>
    </row>
    <row r="113">
      <c r="B113" s="3"/>
      <c r="C113" s="3"/>
      <c r="D113" s="3"/>
    </row>
    <row r="114">
      <c r="B114" s="3"/>
      <c r="C114" s="3"/>
      <c r="D114" s="3"/>
    </row>
    <row r="115">
      <c r="B115" s="3"/>
      <c r="C115" s="3"/>
      <c r="D115" s="3"/>
    </row>
    <row r="116">
      <c r="B116" s="3"/>
      <c r="C116" s="3"/>
      <c r="D116" s="3"/>
    </row>
    <row r="117">
      <c r="B117" s="3"/>
      <c r="C117" s="3"/>
      <c r="D117" s="3"/>
    </row>
    <row r="118">
      <c r="B118" s="3"/>
      <c r="C118" s="3"/>
      <c r="D118" s="3"/>
    </row>
    <row r="119">
      <c r="B119" s="3"/>
      <c r="C119" s="3"/>
      <c r="D119" s="3"/>
    </row>
    <row r="120">
      <c r="B120" s="3"/>
      <c r="C120" s="3"/>
      <c r="D120" s="3"/>
    </row>
    <row r="121">
      <c r="B121" s="3"/>
      <c r="C121" s="3"/>
      <c r="D121" s="3"/>
    </row>
    <row r="122">
      <c r="B122" s="3"/>
      <c r="C122" s="3"/>
      <c r="D122" s="3"/>
    </row>
    <row r="123">
      <c r="B123" s="3"/>
      <c r="C123" s="3"/>
      <c r="D123" s="3"/>
    </row>
    <row r="124">
      <c r="B124" s="3"/>
      <c r="C124" s="3"/>
      <c r="D124" s="3"/>
    </row>
    <row r="125">
      <c r="B125" s="3"/>
      <c r="C125" s="3"/>
      <c r="D125" s="3"/>
    </row>
    <row r="126">
      <c r="B126" s="3"/>
      <c r="C126" s="3"/>
      <c r="D126" s="3"/>
    </row>
    <row r="127">
      <c r="B127" s="3"/>
      <c r="C127" s="3"/>
      <c r="D127" s="3"/>
    </row>
    <row r="128">
      <c r="B128" s="3"/>
      <c r="C128" s="3"/>
      <c r="D128" s="3"/>
    </row>
    <row r="129">
      <c r="B129" s="3"/>
      <c r="C129" s="3"/>
      <c r="D129" s="3"/>
    </row>
    <row r="130">
      <c r="B130" s="3"/>
      <c r="C130" s="3"/>
      <c r="D130" s="3"/>
    </row>
    <row r="131">
      <c r="B131" s="3"/>
      <c r="C131" s="3"/>
      <c r="D131" s="3"/>
    </row>
    <row r="132">
      <c r="B132" s="3"/>
      <c r="C132" s="3"/>
      <c r="D132" s="3"/>
    </row>
    <row r="133">
      <c r="B133" s="3"/>
      <c r="C133" s="3"/>
      <c r="D133" s="3"/>
    </row>
    <row r="134">
      <c r="B134" s="3"/>
      <c r="C134" s="3"/>
      <c r="D134" s="3"/>
    </row>
    <row r="135">
      <c r="B135" s="3"/>
      <c r="C135" s="3"/>
      <c r="D135" s="3"/>
    </row>
    <row r="136">
      <c r="B136" s="3"/>
      <c r="C136" s="3"/>
      <c r="D136" s="3"/>
    </row>
    <row r="137">
      <c r="B137" s="3"/>
      <c r="C137" s="3"/>
      <c r="D137" s="3"/>
    </row>
    <row r="138">
      <c r="B138" s="3"/>
      <c r="C138" s="3"/>
      <c r="D138" s="3"/>
    </row>
    <row r="139">
      <c r="B139" s="3"/>
      <c r="C139" s="3"/>
      <c r="D139" s="3"/>
    </row>
    <row r="140">
      <c r="B140" s="3"/>
      <c r="C140" s="3"/>
      <c r="D140" s="3"/>
    </row>
    <row r="141">
      <c r="B141" s="3"/>
      <c r="C141" s="3"/>
      <c r="D141" s="3"/>
    </row>
    <row r="142">
      <c r="B142" s="3"/>
      <c r="C142" s="3"/>
      <c r="D142" s="3"/>
    </row>
    <row r="143">
      <c r="B143" s="3"/>
      <c r="C143" s="3"/>
      <c r="D143" s="3"/>
    </row>
    <row r="144">
      <c r="B144" s="3"/>
      <c r="C144" s="3"/>
      <c r="D144" s="3"/>
    </row>
    <row r="145">
      <c r="B145" s="3"/>
      <c r="C145" s="3"/>
      <c r="D145" s="3"/>
    </row>
    <row r="146">
      <c r="B146" s="3"/>
      <c r="C146" s="3"/>
      <c r="D146" s="3"/>
    </row>
    <row r="147">
      <c r="B147" s="3"/>
      <c r="C147" s="3"/>
      <c r="D147" s="3"/>
    </row>
    <row r="148">
      <c r="B148" s="3"/>
      <c r="C148" s="3"/>
      <c r="D148" s="3"/>
    </row>
    <row r="149">
      <c r="B149" s="3"/>
      <c r="C149" s="3"/>
      <c r="D149" s="3"/>
    </row>
    <row r="150">
      <c r="B150" s="3"/>
      <c r="C150" s="3"/>
      <c r="D150" s="3"/>
    </row>
    <row r="151">
      <c r="B151" s="3"/>
      <c r="C151" s="3"/>
      <c r="D151" s="3"/>
    </row>
    <row r="152">
      <c r="B152" s="3"/>
      <c r="C152" s="3"/>
      <c r="D152" s="3"/>
    </row>
    <row r="153">
      <c r="B153" s="3"/>
      <c r="C153" s="3"/>
      <c r="D153" s="3"/>
    </row>
    <row r="154">
      <c r="B154" s="3"/>
      <c r="C154" s="3"/>
      <c r="D154" s="3"/>
    </row>
    <row r="155">
      <c r="B155" s="3"/>
      <c r="C155" s="3"/>
      <c r="D155" s="3"/>
    </row>
    <row r="156">
      <c r="B156" s="3"/>
      <c r="C156" s="3"/>
      <c r="D156" s="3"/>
    </row>
    <row r="157">
      <c r="B157" s="3"/>
      <c r="C157" s="3"/>
      <c r="D157" s="3"/>
    </row>
    <row r="158">
      <c r="B158" s="3"/>
      <c r="C158" s="3"/>
      <c r="D158" s="3"/>
    </row>
    <row r="159">
      <c r="B159" s="3"/>
      <c r="C159" s="3"/>
      <c r="D159" s="3"/>
    </row>
    <row r="160">
      <c r="B160" s="3"/>
      <c r="C160" s="3"/>
      <c r="D160" s="3"/>
    </row>
    <row r="161">
      <c r="B161" s="3"/>
      <c r="C161" s="3"/>
      <c r="D161" s="3"/>
    </row>
    <row r="162">
      <c r="B162" s="3"/>
      <c r="C162" s="3"/>
      <c r="D162" s="3"/>
    </row>
    <row r="163">
      <c r="B163" s="3"/>
      <c r="C163" s="3"/>
      <c r="D163" s="3"/>
    </row>
    <row r="164">
      <c r="B164" s="3"/>
      <c r="C164" s="3"/>
      <c r="D164" s="3"/>
    </row>
    <row r="165">
      <c r="B165" s="3"/>
      <c r="C165" s="3"/>
      <c r="D165" s="3"/>
    </row>
    <row r="166">
      <c r="B166" s="3"/>
      <c r="C166" s="3"/>
      <c r="D166" s="3"/>
    </row>
    <row r="167">
      <c r="B167" s="3"/>
      <c r="C167" s="3"/>
      <c r="D167" s="3"/>
    </row>
    <row r="168">
      <c r="B168" s="3"/>
      <c r="C168" s="3"/>
      <c r="D168" s="3"/>
    </row>
    <row r="169">
      <c r="B169" s="3"/>
      <c r="C169" s="3"/>
      <c r="D169" s="3"/>
    </row>
    <row r="170">
      <c r="B170" s="3"/>
      <c r="C170" s="3"/>
      <c r="D170" s="3"/>
    </row>
    <row r="171">
      <c r="B171" s="3"/>
      <c r="C171" s="3"/>
      <c r="D171" s="3"/>
    </row>
    <row r="172">
      <c r="B172" s="3"/>
      <c r="C172" s="3"/>
      <c r="D172" s="3"/>
    </row>
    <row r="173">
      <c r="B173" s="3"/>
      <c r="C173" s="3"/>
      <c r="D173" s="3"/>
    </row>
    <row r="174">
      <c r="B174" s="3"/>
      <c r="C174" s="3"/>
      <c r="D174" s="3"/>
    </row>
    <row r="175">
      <c r="B175" s="3"/>
      <c r="C175" s="3"/>
      <c r="D175" s="3"/>
    </row>
    <row r="176">
      <c r="B176" s="3"/>
      <c r="C176" s="3"/>
      <c r="D176" s="3"/>
    </row>
    <row r="177">
      <c r="B177" s="3"/>
      <c r="C177" s="3"/>
      <c r="D177" s="3"/>
    </row>
    <row r="178">
      <c r="B178" s="3"/>
      <c r="C178" s="3"/>
      <c r="D178" s="3"/>
    </row>
    <row r="179">
      <c r="B179" s="3"/>
      <c r="C179" s="3"/>
      <c r="D179" s="3"/>
    </row>
    <row r="180">
      <c r="B180" s="3"/>
      <c r="C180" s="3"/>
      <c r="D180" s="3"/>
    </row>
    <row r="181">
      <c r="B181" s="3"/>
      <c r="C181" s="3"/>
      <c r="D181" s="3"/>
    </row>
    <row r="182">
      <c r="B182" s="3"/>
      <c r="C182" s="3"/>
      <c r="D182" s="3"/>
    </row>
    <row r="183">
      <c r="B183" s="3"/>
      <c r="C183" s="3"/>
      <c r="D183" s="3"/>
    </row>
    <row r="184">
      <c r="B184" s="3"/>
      <c r="C184" s="3"/>
      <c r="D184" s="3"/>
    </row>
    <row r="185">
      <c r="B185" s="3"/>
      <c r="C185" s="3"/>
      <c r="D185" s="3"/>
    </row>
    <row r="186">
      <c r="B186" s="3"/>
      <c r="C186" s="3"/>
      <c r="D186" s="3"/>
    </row>
    <row r="187">
      <c r="B187" s="3"/>
      <c r="C187" s="3"/>
      <c r="D187" s="3"/>
    </row>
    <row r="188">
      <c r="B188" s="3"/>
      <c r="C188" s="3"/>
      <c r="D188" s="3"/>
    </row>
    <row r="189">
      <c r="B189" s="3"/>
      <c r="C189" s="3"/>
      <c r="D189" s="3"/>
    </row>
    <row r="190">
      <c r="B190" s="3"/>
      <c r="C190" s="3"/>
      <c r="D190" s="3"/>
    </row>
    <row r="191">
      <c r="B191" s="3"/>
      <c r="C191" s="3"/>
      <c r="D191" s="3"/>
    </row>
    <row r="192">
      <c r="B192" s="3"/>
      <c r="C192" s="3"/>
      <c r="D192" s="3"/>
    </row>
    <row r="193">
      <c r="B193" s="3"/>
      <c r="C193" s="3"/>
      <c r="D193" s="3"/>
    </row>
    <row r="194">
      <c r="B194" s="3"/>
      <c r="C194" s="3"/>
      <c r="D194" s="3"/>
    </row>
    <row r="195">
      <c r="B195" s="3"/>
      <c r="C195" s="3"/>
      <c r="D195" s="3"/>
    </row>
    <row r="196">
      <c r="B196" s="3"/>
      <c r="C196" s="3"/>
      <c r="D196" s="3"/>
    </row>
    <row r="197">
      <c r="B197" s="3"/>
      <c r="C197" s="3"/>
      <c r="D197" s="3"/>
    </row>
    <row r="198">
      <c r="B198" s="3"/>
      <c r="C198" s="3"/>
      <c r="D198" s="3"/>
    </row>
    <row r="199">
      <c r="B199" s="3"/>
      <c r="C199" s="3"/>
      <c r="D199" s="3"/>
    </row>
    <row r="200">
      <c r="B200" s="3"/>
      <c r="C200" s="3"/>
      <c r="D200" s="3"/>
    </row>
    <row r="201">
      <c r="B201" s="3"/>
      <c r="C201" s="3"/>
      <c r="D201" s="3"/>
    </row>
    <row r="202">
      <c r="B202" s="3"/>
      <c r="C202" s="3"/>
      <c r="D202" s="3"/>
    </row>
    <row r="203">
      <c r="B203" s="3"/>
      <c r="C203" s="3"/>
      <c r="D203" s="3"/>
    </row>
    <row r="204">
      <c r="B204" s="3"/>
      <c r="C204" s="3"/>
      <c r="D204" s="3"/>
    </row>
    <row r="205">
      <c r="B205" s="3"/>
      <c r="C205" s="3"/>
      <c r="D205" s="3"/>
    </row>
    <row r="206">
      <c r="B206" s="3"/>
      <c r="C206" s="3"/>
      <c r="D206" s="3"/>
    </row>
    <row r="207">
      <c r="B207" s="3"/>
      <c r="C207" s="3"/>
      <c r="D207" s="3"/>
    </row>
    <row r="208">
      <c r="B208" s="3"/>
      <c r="C208" s="3"/>
      <c r="D208" s="3"/>
    </row>
    <row r="209">
      <c r="B209" s="3"/>
      <c r="C209" s="3"/>
      <c r="D209" s="3"/>
    </row>
    <row r="210">
      <c r="B210" s="3"/>
      <c r="C210" s="3"/>
      <c r="D210" s="3"/>
    </row>
    <row r="211">
      <c r="B211" s="3"/>
      <c r="C211" s="3"/>
      <c r="D211" s="3"/>
    </row>
    <row r="212">
      <c r="B212" s="3"/>
      <c r="C212" s="3"/>
      <c r="D212" s="3"/>
    </row>
    <row r="213">
      <c r="B213" s="3"/>
      <c r="C213" s="3"/>
      <c r="D213" s="3"/>
    </row>
    <row r="214">
      <c r="B214" s="3"/>
      <c r="C214" s="3"/>
      <c r="D214" s="3"/>
    </row>
    <row r="215">
      <c r="B215" s="3"/>
      <c r="C215" s="3"/>
      <c r="D215" s="3"/>
    </row>
    <row r="216">
      <c r="B216" s="3"/>
      <c r="C216" s="3"/>
      <c r="D216" s="3"/>
    </row>
    <row r="217">
      <c r="B217" s="3"/>
      <c r="C217" s="3"/>
      <c r="D217" s="3"/>
    </row>
    <row r="218">
      <c r="B218" s="3"/>
      <c r="C218" s="3"/>
      <c r="D218" s="3"/>
    </row>
    <row r="219">
      <c r="B219" s="3"/>
      <c r="C219" s="3"/>
      <c r="D219" s="3"/>
    </row>
    <row r="220">
      <c r="B220" s="3"/>
      <c r="C220" s="3"/>
      <c r="D220" s="3"/>
    </row>
    <row r="221">
      <c r="B221" s="3"/>
      <c r="C221" s="3"/>
      <c r="D221" s="3"/>
    </row>
    <row r="222">
      <c r="B222" s="3"/>
      <c r="C222" s="3"/>
      <c r="D222" s="3"/>
    </row>
    <row r="223">
      <c r="B223" s="3"/>
      <c r="C223" s="3"/>
      <c r="D223" s="3"/>
    </row>
    <row r="224">
      <c r="B224" s="3"/>
      <c r="C224" s="3"/>
      <c r="D224" s="3"/>
    </row>
    <row r="225">
      <c r="B225" s="3"/>
      <c r="C225" s="3"/>
      <c r="D225" s="3"/>
    </row>
    <row r="226">
      <c r="B226" s="3"/>
      <c r="C226" s="3"/>
      <c r="D226" s="3"/>
    </row>
    <row r="227">
      <c r="B227" s="3"/>
      <c r="C227" s="3"/>
      <c r="D227" s="3"/>
    </row>
    <row r="228">
      <c r="B228" s="3"/>
      <c r="C228" s="3"/>
      <c r="D228" s="3"/>
    </row>
    <row r="229">
      <c r="B229" s="3"/>
      <c r="C229" s="3"/>
      <c r="D229" s="3"/>
    </row>
    <row r="230">
      <c r="B230" s="3"/>
      <c r="C230" s="3"/>
      <c r="D230" s="3"/>
    </row>
    <row r="231">
      <c r="B231" s="3"/>
      <c r="C231" s="3"/>
      <c r="D231" s="3"/>
    </row>
    <row r="232">
      <c r="B232" s="3"/>
      <c r="C232" s="3"/>
      <c r="D232" s="3"/>
    </row>
    <row r="233">
      <c r="B233" s="3"/>
      <c r="C233" s="3"/>
      <c r="D233" s="3"/>
    </row>
    <row r="234">
      <c r="B234" s="3"/>
      <c r="C234" s="3"/>
      <c r="D234" s="3"/>
    </row>
    <row r="235">
      <c r="B235" s="3"/>
      <c r="C235" s="3"/>
      <c r="D235" s="3"/>
    </row>
    <row r="236">
      <c r="B236" s="3"/>
      <c r="C236" s="3"/>
      <c r="D236" s="3"/>
    </row>
    <row r="237">
      <c r="B237" s="3"/>
      <c r="C237" s="3"/>
      <c r="D237" s="3"/>
    </row>
    <row r="238">
      <c r="B238" s="3"/>
      <c r="C238" s="3"/>
      <c r="D238" s="3"/>
    </row>
    <row r="239">
      <c r="B239" s="3"/>
      <c r="C239" s="3"/>
      <c r="D239" s="3"/>
    </row>
    <row r="240">
      <c r="B240" s="3"/>
      <c r="C240" s="3"/>
      <c r="D240" s="3"/>
    </row>
    <row r="241">
      <c r="B241" s="3"/>
      <c r="C241" s="3"/>
      <c r="D241" s="3"/>
    </row>
    <row r="242">
      <c r="B242" s="3"/>
      <c r="C242" s="3"/>
      <c r="D242" s="3"/>
    </row>
    <row r="243">
      <c r="B243" s="3"/>
      <c r="C243" s="3"/>
      <c r="D243" s="3"/>
    </row>
    <row r="244">
      <c r="B244" s="3"/>
      <c r="C244" s="3"/>
      <c r="D244" s="3"/>
    </row>
    <row r="245">
      <c r="B245" s="3"/>
      <c r="C245" s="3"/>
      <c r="D245" s="3"/>
    </row>
    <row r="246">
      <c r="B246" s="3"/>
      <c r="C246" s="3"/>
      <c r="D246" s="3"/>
    </row>
    <row r="247">
      <c r="B247" s="3"/>
      <c r="C247" s="3"/>
      <c r="D247" s="3"/>
    </row>
    <row r="248">
      <c r="B248" s="3"/>
      <c r="C248" s="3"/>
      <c r="D248" s="3"/>
    </row>
    <row r="249">
      <c r="B249" s="3"/>
      <c r="C249" s="3"/>
      <c r="D249" s="3"/>
    </row>
    <row r="250">
      <c r="B250" s="3"/>
      <c r="C250" s="3"/>
      <c r="D250" s="3"/>
    </row>
    <row r="251">
      <c r="B251" s="3"/>
      <c r="C251" s="3"/>
      <c r="D251" s="3"/>
    </row>
    <row r="252">
      <c r="B252" s="3"/>
      <c r="C252" s="3"/>
      <c r="D252" s="3"/>
    </row>
    <row r="253">
      <c r="B253" s="3"/>
      <c r="C253" s="3"/>
      <c r="D253" s="3"/>
    </row>
    <row r="254">
      <c r="B254" s="3"/>
      <c r="C254" s="3"/>
      <c r="D254" s="3"/>
    </row>
    <row r="255">
      <c r="B255" s="3"/>
      <c r="C255" s="3"/>
      <c r="D255" s="3"/>
    </row>
    <row r="256">
      <c r="B256" s="3"/>
      <c r="C256" s="3"/>
      <c r="D256" s="3"/>
    </row>
    <row r="257">
      <c r="B257" s="3"/>
      <c r="C257" s="3"/>
      <c r="D257" s="3"/>
    </row>
    <row r="258">
      <c r="B258" s="3"/>
      <c r="C258" s="3"/>
      <c r="D258" s="3"/>
    </row>
    <row r="259">
      <c r="B259" s="3"/>
      <c r="C259" s="3"/>
      <c r="D259" s="3"/>
    </row>
    <row r="260">
      <c r="B260" s="3"/>
      <c r="C260" s="3"/>
      <c r="D260" s="3"/>
    </row>
    <row r="261">
      <c r="B261" s="3"/>
      <c r="C261" s="3"/>
      <c r="D261" s="3"/>
    </row>
    <row r="262">
      <c r="B262" s="3"/>
      <c r="C262" s="3"/>
      <c r="D262" s="3"/>
    </row>
    <row r="263">
      <c r="B263" s="3"/>
      <c r="C263" s="3"/>
      <c r="D263" s="3"/>
    </row>
    <row r="264">
      <c r="B264" s="3"/>
      <c r="C264" s="3"/>
      <c r="D264" s="3"/>
    </row>
    <row r="265">
      <c r="B265" s="3"/>
      <c r="C265" s="3"/>
      <c r="D265" s="3"/>
    </row>
    <row r="266">
      <c r="B266" s="3"/>
      <c r="C266" s="3"/>
      <c r="D266" s="3"/>
    </row>
    <row r="267">
      <c r="B267" s="3"/>
      <c r="C267" s="3"/>
      <c r="D267" s="3"/>
    </row>
    <row r="268">
      <c r="B268" s="3"/>
      <c r="C268" s="3"/>
      <c r="D268" s="3"/>
    </row>
    <row r="269">
      <c r="B269" s="3"/>
      <c r="C269" s="3"/>
      <c r="D269" s="3"/>
    </row>
    <row r="270">
      <c r="B270" s="3"/>
      <c r="C270" s="3"/>
      <c r="D270" s="3"/>
    </row>
    <row r="271">
      <c r="B271" s="3"/>
      <c r="C271" s="3"/>
      <c r="D271" s="3"/>
    </row>
    <row r="272">
      <c r="B272" s="3"/>
      <c r="C272" s="3"/>
      <c r="D272" s="3"/>
    </row>
    <row r="273">
      <c r="B273" s="3"/>
      <c r="C273" s="3"/>
      <c r="D273" s="3"/>
    </row>
    <row r="274">
      <c r="B274" s="3"/>
      <c r="C274" s="3"/>
      <c r="D274" s="3"/>
    </row>
    <row r="275">
      <c r="B275" s="3"/>
      <c r="C275" s="3"/>
      <c r="D275" s="3"/>
    </row>
    <row r="276">
      <c r="B276" s="3"/>
      <c r="C276" s="3"/>
      <c r="D276" s="3"/>
    </row>
    <row r="277">
      <c r="B277" s="3"/>
      <c r="C277" s="3"/>
      <c r="D277" s="3"/>
    </row>
    <row r="278">
      <c r="B278" s="3"/>
      <c r="C278" s="3"/>
      <c r="D278" s="3"/>
    </row>
    <row r="279">
      <c r="B279" s="3"/>
      <c r="C279" s="3"/>
      <c r="D279" s="3"/>
    </row>
    <row r="280">
      <c r="B280" s="3"/>
      <c r="C280" s="3"/>
      <c r="D280" s="3"/>
    </row>
    <row r="281">
      <c r="B281" s="3"/>
      <c r="C281" s="3"/>
      <c r="D281" s="3"/>
    </row>
    <row r="282">
      <c r="B282" s="3"/>
      <c r="C282" s="3"/>
      <c r="D282" s="3"/>
    </row>
    <row r="283">
      <c r="B283" s="3"/>
      <c r="C283" s="3"/>
      <c r="D283" s="3"/>
    </row>
    <row r="284">
      <c r="B284" s="3"/>
      <c r="C284" s="3"/>
      <c r="D284" s="3"/>
    </row>
    <row r="285">
      <c r="B285" s="3"/>
      <c r="C285" s="3"/>
      <c r="D285" s="3"/>
    </row>
    <row r="286">
      <c r="B286" s="3"/>
      <c r="C286" s="3"/>
      <c r="D286" s="3"/>
    </row>
    <row r="287">
      <c r="B287" s="3"/>
      <c r="C287" s="3"/>
      <c r="D287" s="3"/>
    </row>
    <row r="288">
      <c r="B288" s="3"/>
      <c r="C288" s="3"/>
      <c r="D288" s="3"/>
    </row>
    <row r="289">
      <c r="B289" s="3"/>
      <c r="C289" s="3"/>
      <c r="D289" s="3"/>
    </row>
    <row r="290">
      <c r="B290" s="3"/>
      <c r="C290" s="3"/>
      <c r="D290" s="3"/>
    </row>
    <row r="291">
      <c r="B291" s="3"/>
      <c r="C291" s="3"/>
      <c r="D291" s="3"/>
    </row>
    <row r="292">
      <c r="B292" s="3"/>
      <c r="C292" s="3"/>
      <c r="D292" s="3"/>
    </row>
    <row r="293">
      <c r="B293" s="3"/>
      <c r="C293" s="3"/>
      <c r="D293" s="3"/>
    </row>
    <row r="294">
      <c r="B294" s="3"/>
      <c r="C294" s="3"/>
      <c r="D294" s="3"/>
    </row>
    <row r="295">
      <c r="B295" s="3"/>
      <c r="C295" s="3"/>
      <c r="D295" s="3"/>
    </row>
    <row r="296">
      <c r="B296" s="3"/>
      <c r="C296" s="3"/>
      <c r="D296" s="3"/>
    </row>
    <row r="297">
      <c r="B297" s="3"/>
      <c r="C297" s="3"/>
      <c r="D297" s="3"/>
    </row>
    <row r="298">
      <c r="B298" s="3"/>
      <c r="C298" s="3"/>
      <c r="D298" s="3"/>
    </row>
    <row r="299">
      <c r="B299" s="3"/>
      <c r="C299" s="3"/>
      <c r="D299" s="3"/>
    </row>
    <row r="300">
      <c r="B300" s="3"/>
      <c r="C300" s="3"/>
      <c r="D300" s="3"/>
    </row>
    <row r="301">
      <c r="B301" s="3"/>
      <c r="C301" s="3"/>
      <c r="D301" s="3"/>
    </row>
    <row r="302">
      <c r="B302" s="3"/>
      <c r="C302" s="3"/>
      <c r="D302" s="3"/>
    </row>
    <row r="303">
      <c r="B303" s="3"/>
      <c r="C303" s="3"/>
      <c r="D303" s="3"/>
    </row>
    <row r="304">
      <c r="B304" s="3"/>
      <c r="C304" s="3"/>
      <c r="D304" s="3"/>
    </row>
    <row r="305">
      <c r="B305" s="3"/>
      <c r="C305" s="3"/>
      <c r="D305" s="3"/>
    </row>
    <row r="306">
      <c r="B306" s="3"/>
      <c r="C306" s="3"/>
      <c r="D306" s="3"/>
    </row>
    <row r="307">
      <c r="B307" s="3"/>
      <c r="C307" s="3"/>
      <c r="D307" s="3"/>
    </row>
    <row r="308">
      <c r="B308" s="3"/>
      <c r="C308" s="3"/>
      <c r="D308" s="3"/>
    </row>
    <row r="309">
      <c r="B309" s="3"/>
      <c r="C309" s="3"/>
      <c r="D309" s="3"/>
    </row>
    <row r="310">
      <c r="B310" s="3"/>
      <c r="C310" s="3"/>
      <c r="D310" s="3"/>
    </row>
    <row r="311">
      <c r="B311" s="3"/>
      <c r="C311" s="3"/>
      <c r="D311" s="3"/>
    </row>
    <row r="312">
      <c r="B312" s="3"/>
      <c r="C312" s="3"/>
      <c r="D312" s="3"/>
    </row>
    <row r="313">
      <c r="B313" s="3"/>
      <c r="C313" s="3"/>
      <c r="D313" s="3"/>
    </row>
    <row r="314">
      <c r="B314" s="3"/>
      <c r="C314" s="3"/>
      <c r="D314" s="3"/>
    </row>
    <row r="315">
      <c r="B315" s="3"/>
      <c r="C315" s="3"/>
      <c r="D315" s="3"/>
    </row>
    <row r="316">
      <c r="B316" s="3"/>
      <c r="C316" s="3"/>
      <c r="D316" s="3"/>
    </row>
    <row r="317">
      <c r="B317" s="3"/>
      <c r="C317" s="3"/>
      <c r="D317" s="3"/>
    </row>
    <row r="318">
      <c r="B318" s="3"/>
      <c r="C318" s="3"/>
      <c r="D318" s="3"/>
    </row>
    <row r="319">
      <c r="B319" s="3"/>
      <c r="C319" s="3"/>
      <c r="D319" s="3"/>
    </row>
    <row r="320">
      <c r="B320" s="3"/>
      <c r="C320" s="3"/>
      <c r="D320" s="3"/>
    </row>
    <row r="321">
      <c r="B321" s="3"/>
      <c r="C321" s="3"/>
      <c r="D321" s="3"/>
    </row>
    <row r="322">
      <c r="B322" s="3"/>
      <c r="C322" s="3"/>
      <c r="D322" s="3"/>
    </row>
    <row r="323">
      <c r="B323" s="3"/>
      <c r="C323" s="3"/>
      <c r="D323" s="3"/>
    </row>
    <row r="324">
      <c r="B324" s="3"/>
      <c r="C324" s="3"/>
      <c r="D324" s="3"/>
    </row>
    <row r="325">
      <c r="B325" s="3"/>
      <c r="C325" s="3"/>
      <c r="D325" s="3"/>
    </row>
    <row r="326">
      <c r="B326" s="3"/>
      <c r="C326" s="3"/>
      <c r="D326" s="3"/>
    </row>
    <row r="327">
      <c r="B327" s="3"/>
      <c r="C327" s="3"/>
      <c r="D327" s="3"/>
    </row>
    <row r="328">
      <c r="B328" s="3"/>
      <c r="C328" s="3"/>
      <c r="D328" s="3"/>
    </row>
    <row r="329">
      <c r="B329" s="3"/>
      <c r="C329" s="3"/>
      <c r="D329" s="3"/>
    </row>
    <row r="330">
      <c r="B330" s="3"/>
      <c r="C330" s="3"/>
      <c r="D330" s="3"/>
    </row>
    <row r="331">
      <c r="B331" s="3"/>
      <c r="C331" s="3"/>
      <c r="D331" s="3"/>
    </row>
    <row r="332">
      <c r="B332" s="3"/>
      <c r="C332" s="3"/>
      <c r="D332" s="3"/>
    </row>
    <row r="333">
      <c r="B333" s="3"/>
      <c r="C333" s="3"/>
      <c r="D333" s="3"/>
    </row>
    <row r="334">
      <c r="B334" s="3"/>
      <c r="C334" s="3"/>
      <c r="D334" s="3"/>
    </row>
    <row r="335">
      <c r="B335" s="3"/>
      <c r="C335" s="3"/>
      <c r="D335" s="3"/>
    </row>
    <row r="336">
      <c r="B336" s="3"/>
      <c r="C336" s="3"/>
      <c r="D336" s="3"/>
    </row>
    <row r="337">
      <c r="B337" s="3"/>
      <c r="C337" s="3"/>
      <c r="D337" s="3"/>
    </row>
    <row r="338">
      <c r="B338" s="3"/>
      <c r="C338" s="3"/>
      <c r="D338" s="3"/>
    </row>
    <row r="339">
      <c r="B339" s="3"/>
      <c r="C339" s="3"/>
      <c r="D339" s="3"/>
    </row>
    <row r="340">
      <c r="B340" s="3"/>
      <c r="C340" s="3"/>
      <c r="D340" s="3"/>
    </row>
    <row r="341">
      <c r="B341" s="3"/>
      <c r="C341" s="3"/>
      <c r="D341" s="3"/>
    </row>
    <row r="342">
      <c r="B342" s="3"/>
      <c r="C342" s="3"/>
      <c r="D342" s="3"/>
    </row>
    <row r="343">
      <c r="B343" s="3"/>
      <c r="C343" s="3"/>
      <c r="D343" s="3"/>
    </row>
    <row r="344">
      <c r="B344" s="3"/>
      <c r="C344" s="3"/>
      <c r="D344" s="3"/>
    </row>
    <row r="345">
      <c r="B345" s="3"/>
      <c r="C345" s="3"/>
      <c r="D345" s="3"/>
    </row>
    <row r="346">
      <c r="B346" s="3"/>
      <c r="C346" s="3"/>
      <c r="D346" s="3"/>
    </row>
    <row r="347">
      <c r="B347" s="3"/>
      <c r="C347" s="3"/>
      <c r="D347" s="3"/>
    </row>
    <row r="348">
      <c r="B348" s="3"/>
      <c r="C348" s="3"/>
      <c r="D348" s="3"/>
    </row>
    <row r="349">
      <c r="B349" s="3"/>
      <c r="C349" s="3"/>
      <c r="D349" s="3"/>
    </row>
    <row r="350">
      <c r="B350" s="3"/>
      <c r="C350" s="3"/>
      <c r="D350" s="3"/>
    </row>
    <row r="351">
      <c r="B351" s="3"/>
      <c r="C351" s="3"/>
      <c r="D351" s="3"/>
    </row>
    <row r="352">
      <c r="B352" s="3"/>
      <c r="C352" s="3"/>
      <c r="D352" s="3"/>
    </row>
    <row r="353">
      <c r="B353" s="3"/>
      <c r="C353" s="3"/>
      <c r="D353" s="3"/>
    </row>
    <row r="354">
      <c r="B354" s="3"/>
      <c r="C354" s="3"/>
      <c r="D354" s="3"/>
    </row>
    <row r="355">
      <c r="B355" s="3"/>
      <c r="C355" s="3"/>
      <c r="D355" s="3"/>
    </row>
    <row r="356">
      <c r="B356" s="3"/>
      <c r="C356" s="3"/>
      <c r="D356" s="3"/>
    </row>
    <row r="357">
      <c r="B357" s="3"/>
      <c r="C357" s="3"/>
      <c r="D357" s="3"/>
    </row>
    <row r="358">
      <c r="B358" s="3"/>
      <c r="C358" s="3"/>
      <c r="D358" s="3"/>
    </row>
    <row r="359">
      <c r="B359" s="3"/>
      <c r="C359" s="3"/>
      <c r="D359" s="3"/>
    </row>
    <row r="360">
      <c r="B360" s="3"/>
      <c r="C360" s="3"/>
      <c r="D360" s="3"/>
    </row>
    <row r="361">
      <c r="B361" s="3"/>
      <c r="C361" s="3"/>
      <c r="D361" s="3"/>
    </row>
    <row r="362">
      <c r="B362" s="3"/>
      <c r="C362" s="3"/>
      <c r="D362" s="3"/>
    </row>
    <row r="363">
      <c r="B363" s="3"/>
      <c r="C363" s="3"/>
      <c r="D363" s="3"/>
    </row>
    <row r="364">
      <c r="B364" s="3"/>
      <c r="C364" s="3"/>
      <c r="D364" s="3"/>
    </row>
    <row r="365">
      <c r="B365" s="3"/>
      <c r="C365" s="3"/>
      <c r="D365" s="3"/>
    </row>
    <row r="366">
      <c r="B366" s="3"/>
      <c r="C366" s="3"/>
      <c r="D366" s="3"/>
    </row>
    <row r="367">
      <c r="B367" s="3"/>
      <c r="C367" s="3"/>
      <c r="D367" s="3"/>
    </row>
    <row r="368">
      <c r="B368" s="3"/>
      <c r="C368" s="3"/>
      <c r="D368" s="3"/>
    </row>
    <row r="369">
      <c r="B369" s="3"/>
      <c r="C369" s="3"/>
      <c r="D369" s="3"/>
    </row>
    <row r="370">
      <c r="B370" s="3"/>
      <c r="C370" s="3"/>
      <c r="D370" s="3"/>
    </row>
    <row r="371">
      <c r="B371" s="3"/>
      <c r="C371" s="3"/>
      <c r="D371" s="3"/>
    </row>
    <row r="372">
      <c r="B372" s="3"/>
      <c r="C372" s="3"/>
      <c r="D372" s="3"/>
    </row>
    <row r="373">
      <c r="B373" s="3"/>
      <c r="C373" s="3"/>
      <c r="D373" s="3"/>
    </row>
    <row r="374">
      <c r="B374" s="3"/>
      <c r="C374" s="3"/>
      <c r="D374" s="3"/>
    </row>
    <row r="375">
      <c r="B375" s="3"/>
      <c r="C375" s="3"/>
      <c r="D375" s="3"/>
    </row>
    <row r="376">
      <c r="B376" s="3"/>
      <c r="C376" s="3"/>
      <c r="D376" s="3"/>
    </row>
    <row r="377">
      <c r="B377" s="3"/>
      <c r="C377" s="3"/>
      <c r="D377" s="3"/>
    </row>
    <row r="378">
      <c r="B378" s="3"/>
      <c r="C378" s="3"/>
      <c r="D378" s="3"/>
    </row>
    <row r="379">
      <c r="B379" s="3"/>
      <c r="C379" s="3"/>
      <c r="D379" s="3"/>
    </row>
    <row r="380">
      <c r="B380" s="3"/>
      <c r="C380" s="3"/>
      <c r="D380" s="3"/>
    </row>
    <row r="381">
      <c r="B381" s="3"/>
      <c r="C381" s="3"/>
      <c r="D381" s="3"/>
    </row>
    <row r="382">
      <c r="B382" s="3"/>
      <c r="C382" s="3"/>
      <c r="D382" s="3"/>
    </row>
    <row r="383">
      <c r="B383" s="3"/>
      <c r="C383" s="3"/>
      <c r="D383" s="3"/>
    </row>
    <row r="384">
      <c r="B384" s="3"/>
      <c r="C384" s="3"/>
      <c r="D384" s="3"/>
    </row>
    <row r="385">
      <c r="B385" s="3"/>
      <c r="C385" s="3"/>
      <c r="D385" s="3"/>
    </row>
    <row r="386">
      <c r="B386" s="3"/>
      <c r="C386" s="3"/>
      <c r="D386" s="3"/>
    </row>
    <row r="387">
      <c r="B387" s="3"/>
      <c r="C387" s="3"/>
      <c r="D387" s="3"/>
    </row>
    <row r="388">
      <c r="B388" s="3"/>
      <c r="C388" s="3"/>
      <c r="D388" s="3"/>
    </row>
    <row r="389">
      <c r="B389" s="3"/>
      <c r="C389" s="3"/>
      <c r="D389" s="3"/>
    </row>
    <row r="390">
      <c r="B390" s="3"/>
      <c r="C390" s="3"/>
      <c r="D390" s="3"/>
    </row>
    <row r="391">
      <c r="B391" s="3"/>
      <c r="C391" s="3"/>
      <c r="D391" s="3"/>
    </row>
    <row r="392">
      <c r="B392" s="3"/>
      <c r="C392" s="3"/>
      <c r="D392" s="3"/>
    </row>
    <row r="393">
      <c r="B393" s="3"/>
      <c r="C393" s="3"/>
      <c r="D393" s="3"/>
    </row>
    <row r="394">
      <c r="B394" s="3"/>
      <c r="C394" s="3"/>
      <c r="D394" s="3"/>
    </row>
    <row r="395">
      <c r="B395" s="3"/>
      <c r="C395" s="3"/>
      <c r="D395" s="3"/>
    </row>
    <row r="396">
      <c r="B396" s="3"/>
      <c r="C396" s="3"/>
      <c r="D396" s="3"/>
    </row>
    <row r="397">
      <c r="B397" s="3"/>
      <c r="C397" s="3"/>
      <c r="D397" s="3"/>
    </row>
    <row r="398">
      <c r="B398" s="3"/>
      <c r="C398" s="3"/>
      <c r="D398" s="3"/>
    </row>
    <row r="399">
      <c r="B399" s="3"/>
      <c r="C399" s="3"/>
      <c r="D399" s="3"/>
    </row>
    <row r="400">
      <c r="B400" s="3"/>
      <c r="C400" s="3"/>
      <c r="D400" s="3"/>
    </row>
    <row r="401">
      <c r="B401" s="3"/>
      <c r="C401" s="3"/>
      <c r="D401" s="3"/>
    </row>
    <row r="402">
      <c r="B402" s="3"/>
      <c r="C402" s="3"/>
      <c r="D402" s="3"/>
    </row>
    <row r="403">
      <c r="B403" s="3"/>
      <c r="C403" s="3"/>
      <c r="D403" s="3"/>
    </row>
    <row r="404">
      <c r="B404" s="3"/>
      <c r="C404" s="3"/>
      <c r="D404" s="3"/>
    </row>
    <row r="405">
      <c r="B405" s="3"/>
      <c r="C405" s="3"/>
      <c r="D405" s="3"/>
    </row>
    <row r="406">
      <c r="B406" s="3"/>
      <c r="C406" s="3"/>
      <c r="D406" s="3"/>
    </row>
    <row r="407">
      <c r="B407" s="3"/>
      <c r="C407" s="3"/>
      <c r="D407" s="3"/>
    </row>
    <row r="408">
      <c r="B408" s="3"/>
      <c r="C408" s="3"/>
      <c r="D408" s="3"/>
    </row>
    <row r="409">
      <c r="B409" s="3"/>
      <c r="C409" s="3"/>
      <c r="D409" s="3"/>
    </row>
    <row r="410">
      <c r="B410" s="3"/>
      <c r="C410" s="3"/>
      <c r="D410" s="3"/>
    </row>
    <row r="411">
      <c r="B411" s="3"/>
      <c r="C411" s="3"/>
      <c r="D411" s="3"/>
    </row>
    <row r="412">
      <c r="B412" s="3"/>
      <c r="C412" s="3"/>
      <c r="D412" s="3"/>
    </row>
    <row r="413">
      <c r="B413" s="3"/>
      <c r="C413" s="3"/>
      <c r="D413" s="3"/>
    </row>
    <row r="414">
      <c r="B414" s="3"/>
      <c r="C414" s="3"/>
      <c r="D414" s="3"/>
    </row>
    <row r="415">
      <c r="B415" s="3"/>
      <c r="C415" s="3"/>
      <c r="D415" s="3"/>
    </row>
    <row r="416">
      <c r="B416" s="3"/>
      <c r="C416" s="3"/>
      <c r="D416" s="3"/>
    </row>
    <row r="417">
      <c r="B417" s="3"/>
      <c r="C417" s="3"/>
      <c r="D417" s="3"/>
    </row>
    <row r="418">
      <c r="B418" s="3"/>
      <c r="C418" s="3"/>
      <c r="D418" s="3"/>
    </row>
    <row r="419">
      <c r="B419" s="3"/>
      <c r="C419" s="3"/>
      <c r="D419" s="3"/>
    </row>
    <row r="420">
      <c r="B420" s="3"/>
      <c r="C420" s="3"/>
      <c r="D420" s="3"/>
    </row>
    <row r="421">
      <c r="B421" s="3"/>
      <c r="C421" s="3"/>
      <c r="D421" s="3"/>
    </row>
    <row r="422">
      <c r="B422" s="3"/>
      <c r="C422" s="3"/>
      <c r="D422" s="3"/>
    </row>
    <row r="423">
      <c r="B423" s="3"/>
      <c r="C423" s="3"/>
      <c r="D423" s="3"/>
    </row>
    <row r="424">
      <c r="B424" s="3"/>
      <c r="C424" s="3"/>
      <c r="D424" s="3"/>
    </row>
    <row r="425">
      <c r="B425" s="3"/>
      <c r="C425" s="3"/>
      <c r="D425" s="3"/>
    </row>
    <row r="426">
      <c r="B426" s="3"/>
      <c r="C426" s="3"/>
      <c r="D426" s="3"/>
    </row>
    <row r="427">
      <c r="B427" s="3"/>
      <c r="C427" s="3"/>
      <c r="D427" s="3"/>
    </row>
    <row r="428">
      <c r="B428" s="3"/>
      <c r="C428" s="3"/>
      <c r="D428" s="3"/>
    </row>
    <row r="429">
      <c r="B429" s="3"/>
      <c r="C429" s="3"/>
      <c r="D429" s="3"/>
    </row>
    <row r="430">
      <c r="B430" s="3"/>
      <c r="C430" s="3"/>
      <c r="D430" s="3"/>
    </row>
    <row r="431">
      <c r="B431" s="3"/>
      <c r="C431" s="3"/>
      <c r="D431" s="3"/>
    </row>
    <row r="432">
      <c r="B432" s="3"/>
      <c r="C432" s="3"/>
      <c r="D432" s="3"/>
    </row>
    <row r="433">
      <c r="B433" s="3"/>
      <c r="C433" s="3"/>
      <c r="D433" s="3"/>
    </row>
    <row r="434">
      <c r="B434" s="3"/>
      <c r="C434" s="3"/>
      <c r="D434" s="3"/>
    </row>
    <row r="435">
      <c r="B435" s="3"/>
      <c r="C435" s="3"/>
      <c r="D435" s="3"/>
    </row>
    <row r="436">
      <c r="B436" s="3"/>
      <c r="C436" s="3"/>
      <c r="D436" s="3"/>
    </row>
    <row r="437">
      <c r="B437" s="3"/>
      <c r="C437" s="3"/>
      <c r="D437" s="3"/>
    </row>
    <row r="438">
      <c r="B438" s="3"/>
      <c r="C438" s="3"/>
      <c r="D438" s="3"/>
    </row>
    <row r="439">
      <c r="B439" s="3"/>
      <c r="C439" s="3"/>
      <c r="D439" s="3"/>
    </row>
    <row r="440">
      <c r="B440" s="3"/>
      <c r="C440" s="3"/>
      <c r="D440" s="3"/>
    </row>
    <row r="441">
      <c r="B441" s="3"/>
      <c r="C441" s="3"/>
      <c r="D441" s="3"/>
    </row>
    <row r="442">
      <c r="B442" s="3"/>
      <c r="C442" s="3"/>
      <c r="D442" s="3"/>
    </row>
    <row r="443">
      <c r="B443" s="3"/>
      <c r="C443" s="3"/>
      <c r="D443" s="3"/>
    </row>
    <row r="444">
      <c r="B444" s="3"/>
      <c r="C444" s="3"/>
      <c r="D444" s="3"/>
    </row>
    <row r="445">
      <c r="B445" s="3"/>
      <c r="C445" s="3"/>
      <c r="D445" s="3"/>
    </row>
    <row r="446">
      <c r="B446" s="3"/>
      <c r="C446" s="3"/>
      <c r="D446" s="3"/>
    </row>
    <row r="447">
      <c r="B447" s="3"/>
      <c r="C447" s="3"/>
      <c r="D447" s="3"/>
    </row>
    <row r="448">
      <c r="B448" s="3"/>
      <c r="C448" s="3"/>
      <c r="D448" s="3"/>
    </row>
    <row r="449">
      <c r="B449" s="3"/>
      <c r="C449" s="3"/>
      <c r="D449" s="3"/>
    </row>
    <row r="450">
      <c r="B450" s="3"/>
      <c r="C450" s="3"/>
      <c r="D450" s="3"/>
    </row>
    <row r="451">
      <c r="B451" s="3"/>
      <c r="C451" s="3"/>
      <c r="D451" s="3"/>
    </row>
    <row r="452">
      <c r="B452" s="3"/>
      <c r="C452" s="3"/>
      <c r="D452" s="3"/>
    </row>
    <row r="453">
      <c r="B453" s="3"/>
      <c r="C453" s="3"/>
      <c r="D453" s="3"/>
    </row>
    <row r="454">
      <c r="B454" s="3"/>
      <c r="C454" s="3"/>
      <c r="D454" s="3"/>
    </row>
    <row r="455">
      <c r="B455" s="3"/>
      <c r="C455" s="3"/>
      <c r="D455" s="3"/>
    </row>
    <row r="456">
      <c r="B456" s="3"/>
      <c r="C456" s="3"/>
      <c r="D456" s="3"/>
    </row>
    <row r="457">
      <c r="B457" s="3"/>
      <c r="C457" s="3"/>
      <c r="D457" s="3"/>
    </row>
    <row r="458">
      <c r="B458" s="3"/>
      <c r="C458" s="3"/>
      <c r="D458" s="3"/>
    </row>
    <row r="459">
      <c r="B459" s="3"/>
      <c r="C459" s="3"/>
      <c r="D459" s="3"/>
    </row>
    <row r="460">
      <c r="B460" s="3"/>
      <c r="C460" s="3"/>
      <c r="D460" s="3"/>
    </row>
    <row r="461">
      <c r="B461" s="3"/>
      <c r="C461" s="3"/>
      <c r="D461" s="3"/>
    </row>
    <row r="462">
      <c r="B462" s="3"/>
      <c r="C462" s="3"/>
      <c r="D462" s="3"/>
    </row>
    <row r="463">
      <c r="B463" s="3"/>
      <c r="C463" s="3"/>
      <c r="D463" s="3"/>
    </row>
    <row r="464">
      <c r="B464" s="3"/>
      <c r="C464" s="3"/>
      <c r="D464" s="3"/>
    </row>
    <row r="465">
      <c r="B465" s="3"/>
      <c r="C465" s="3"/>
      <c r="D465" s="3"/>
    </row>
    <row r="466">
      <c r="B466" s="3"/>
      <c r="C466" s="3"/>
      <c r="D466" s="3"/>
    </row>
    <row r="467">
      <c r="B467" s="3"/>
      <c r="C467" s="3"/>
      <c r="D467" s="3"/>
    </row>
    <row r="468">
      <c r="B468" s="3"/>
      <c r="C468" s="3"/>
      <c r="D468" s="3"/>
    </row>
    <row r="469">
      <c r="B469" s="3"/>
      <c r="C469" s="3"/>
      <c r="D469" s="3"/>
    </row>
    <row r="470">
      <c r="B470" s="3"/>
      <c r="C470" s="3"/>
      <c r="D470" s="3"/>
    </row>
    <row r="471">
      <c r="B471" s="3"/>
      <c r="C471" s="3"/>
      <c r="D471" s="3"/>
    </row>
    <row r="472">
      <c r="B472" s="3"/>
      <c r="C472" s="3"/>
      <c r="D472" s="3"/>
    </row>
    <row r="473">
      <c r="B473" s="3"/>
      <c r="C473" s="3"/>
      <c r="D473" s="3"/>
    </row>
    <row r="474">
      <c r="B474" s="3"/>
      <c r="C474" s="3"/>
      <c r="D474" s="3"/>
    </row>
    <row r="475">
      <c r="B475" s="3"/>
      <c r="C475" s="3"/>
      <c r="D475" s="3"/>
    </row>
    <row r="476">
      <c r="B476" s="3"/>
      <c r="C476" s="3"/>
      <c r="D476" s="3"/>
    </row>
    <row r="477">
      <c r="B477" s="3"/>
      <c r="C477" s="3"/>
      <c r="D477" s="3"/>
    </row>
    <row r="478">
      <c r="B478" s="3"/>
      <c r="C478" s="3"/>
      <c r="D478" s="3"/>
    </row>
    <row r="479">
      <c r="B479" s="3"/>
      <c r="C479" s="3"/>
      <c r="D479" s="3"/>
    </row>
    <row r="480">
      <c r="B480" s="3"/>
      <c r="C480" s="3"/>
      <c r="D480" s="3"/>
    </row>
    <row r="481">
      <c r="B481" s="3"/>
      <c r="C481" s="3"/>
      <c r="D481" s="3"/>
    </row>
    <row r="482">
      <c r="B482" s="3"/>
      <c r="C482" s="3"/>
      <c r="D482" s="3"/>
    </row>
    <row r="483">
      <c r="B483" s="3"/>
      <c r="C483" s="3"/>
      <c r="D483" s="3"/>
    </row>
    <row r="484">
      <c r="B484" s="3"/>
      <c r="C484" s="3"/>
      <c r="D484" s="3"/>
    </row>
    <row r="485">
      <c r="B485" s="3"/>
      <c r="C485" s="3"/>
      <c r="D485" s="3"/>
    </row>
    <row r="486">
      <c r="B486" s="3"/>
      <c r="C486" s="3"/>
      <c r="D486" s="3"/>
    </row>
    <row r="487">
      <c r="B487" s="3"/>
      <c r="C487" s="3"/>
      <c r="D487" s="3"/>
    </row>
    <row r="488">
      <c r="B488" s="3"/>
      <c r="C488" s="3"/>
      <c r="D488" s="3"/>
    </row>
    <row r="489">
      <c r="B489" s="3"/>
      <c r="C489" s="3"/>
      <c r="D489" s="3"/>
    </row>
    <row r="490">
      <c r="B490" s="3"/>
      <c r="C490" s="3"/>
      <c r="D490" s="3"/>
    </row>
    <row r="491">
      <c r="B491" s="3"/>
      <c r="C491" s="3"/>
      <c r="D491" s="3"/>
    </row>
    <row r="492">
      <c r="B492" s="3"/>
      <c r="C492" s="3"/>
      <c r="D492" s="3"/>
    </row>
    <row r="493">
      <c r="B493" s="3"/>
      <c r="C493" s="3"/>
      <c r="D493" s="3"/>
    </row>
    <row r="494">
      <c r="B494" s="3"/>
      <c r="C494" s="3"/>
      <c r="D494" s="3"/>
    </row>
    <row r="495">
      <c r="B495" s="3"/>
      <c r="C495" s="3"/>
      <c r="D495" s="3"/>
    </row>
    <row r="496">
      <c r="B496" s="3"/>
      <c r="C496" s="3"/>
      <c r="D496" s="3"/>
    </row>
    <row r="497">
      <c r="B497" s="3"/>
      <c r="C497" s="3"/>
      <c r="D497" s="3"/>
    </row>
    <row r="498">
      <c r="B498" s="3"/>
      <c r="C498" s="3"/>
      <c r="D498" s="3"/>
    </row>
    <row r="499">
      <c r="B499" s="3"/>
      <c r="C499" s="3"/>
      <c r="D499" s="3"/>
    </row>
    <row r="500">
      <c r="B500" s="3"/>
      <c r="C500" s="3"/>
      <c r="D500" s="3"/>
    </row>
    <row r="501">
      <c r="B501" s="3"/>
      <c r="C501" s="3"/>
      <c r="D501" s="3"/>
    </row>
    <row r="502">
      <c r="B502" s="3"/>
      <c r="C502" s="3"/>
      <c r="D502" s="3"/>
    </row>
    <row r="503">
      <c r="B503" s="3"/>
      <c r="C503" s="3"/>
      <c r="D503" s="3"/>
    </row>
    <row r="504">
      <c r="B504" s="3"/>
      <c r="C504" s="3"/>
      <c r="D504" s="3"/>
    </row>
    <row r="505">
      <c r="B505" s="3"/>
      <c r="C505" s="3"/>
      <c r="D505" s="3"/>
    </row>
    <row r="506">
      <c r="B506" s="3"/>
      <c r="C506" s="3"/>
      <c r="D506" s="3"/>
    </row>
    <row r="507">
      <c r="B507" s="3"/>
      <c r="C507" s="3"/>
      <c r="D507" s="3"/>
    </row>
    <row r="508">
      <c r="B508" s="3"/>
      <c r="C508" s="3"/>
      <c r="D508" s="3"/>
    </row>
    <row r="509">
      <c r="B509" s="3"/>
      <c r="C509" s="3"/>
      <c r="D509" s="3"/>
    </row>
    <row r="510">
      <c r="B510" s="3"/>
      <c r="C510" s="3"/>
      <c r="D510" s="3"/>
    </row>
    <row r="511">
      <c r="B511" s="3"/>
      <c r="C511" s="3"/>
      <c r="D511" s="3"/>
    </row>
    <row r="512">
      <c r="B512" s="3"/>
      <c r="C512" s="3"/>
      <c r="D512" s="3"/>
    </row>
    <row r="513">
      <c r="B513" s="3"/>
      <c r="C513" s="3"/>
      <c r="D513" s="3"/>
    </row>
    <row r="514">
      <c r="B514" s="3"/>
      <c r="C514" s="3"/>
      <c r="D514" s="3"/>
    </row>
    <row r="515">
      <c r="B515" s="3"/>
      <c r="C515" s="3"/>
      <c r="D515" s="3"/>
    </row>
    <row r="516">
      <c r="B516" s="3"/>
      <c r="C516" s="3"/>
      <c r="D516" s="3"/>
    </row>
    <row r="517">
      <c r="B517" s="3"/>
      <c r="C517" s="3"/>
      <c r="D517" s="3"/>
    </row>
    <row r="518">
      <c r="B518" s="3"/>
      <c r="C518" s="3"/>
      <c r="D518" s="3"/>
    </row>
    <row r="519">
      <c r="B519" s="3"/>
      <c r="C519" s="3"/>
      <c r="D519" s="3"/>
    </row>
    <row r="520">
      <c r="B520" s="3"/>
      <c r="C520" s="3"/>
      <c r="D520" s="3"/>
    </row>
    <row r="521">
      <c r="B521" s="3"/>
      <c r="C521" s="3"/>
      <c r="D521" s="3"/>
    </row>
    <row r="522">
      <c r="B522" s="3"/>
      <c r="C522" s="3"/>
      <c r="D522" s="3"/>
    </row>
    <row r="523">
      <c r="B523" s="3"/>
      <c r="C523" s="3"/>
      <c r="D523" s="3"/>
    </row>
    <row r="524">
      <c r="B524" s="3"/>
      <c r="C524" s="3"/>
      <c r="D524" s="3"/>
    </row>
    <row r="525">
      <c r="B525" s="3"/>
      <c r="C525" s="3"/>
      <c r="D525" s="3"/>
    </row>
    <row r="526">
      <c r="B526" s="3"/>
      <c r="C526" s="3"/>
      <c r="D526" s="3"/>
    </row>
    <row r="527">
      <c r="B527" s="3"/>
      <c r="C527" s="3"/>
      <c r="D527" s="3"/>
    </row>
    <row r="528">
      <c r="B528" s="3"/>
      <c r="C528" s="3"/>
      <c r="D528" s="3"/>
    </row>
    <row r="529">
      <c r="B529" s="3"/>
      <c r="C529" s="3"/>
      <c r="D529" s="3"/>
    </row>
    <row r="530">
      <c r="B530" s="3"/>
      <c r="C530" s="3"/>
      <c r="D530" s="3"/>
    </row>
    <row r="531">
      <c r="B531" s="3"/>
      <c r="C531" s="3"/>
      <c r="D531" s="3"/>
    </row>
    <row r="532">
      <c r="B532" s="3"/>
      <c r="C532" s="3"/>
      <c r="D532" s="3"/>
    </row>
    <row r="533">
      <c r="B533" s="3"/>
      <c r="C533" s="3"/>
      <c r="D533" s="3"/>
    </row>
    <row r="534">
      <c r="B534" s="3"/>
      <c r="C534" s="3"/>
      <c r="D534" s="3"/>
    </row>
    <row r="535">
      <c r="B535" s="3"/>
      <c r="C535" s="3"/>
      <c r="D535" s="3"/>
    </row>
    <row r="536">
      <c r="B536" s="3"/>
      <c r="C536" s="3"/>
      <c r="D536" s="3"/>
    </row>
    <row r="537">
      <c r="B537" s="3"/>
      <c r="C537" s="3"/>
      <c r="D537" s="3"/>
    </row>
    <row r="538">
      <c r="B538" s="3"/>
      <c r="C538" s="3"/>
      <c r="D538" s="3"/>
    </row>
    <row r="539">
      <c r="B539" s="3"/>
      <c r="C539" s="3"/>
      <c r="D539" s="3"/>
    </row>
    <row r="540">
      <c r="B540" s="3"/>
      <c r="C540" s="3"/>
      <c r="D540" s="3"/>
    </row>
    <row r="541">
      <c r="B541" s="3"/>
      <c r="C541" s="3"/>
      <c r="D541" s="3"/>
    </row>
    <row r="542">
      <c r="B542" s="3"/>
      <c r="C542" s="3"/>
      <c r="D542" s="3"/>
    </row>
    <row r="543">
      <c r="B543" s="3"/>
      <c r="C543" s="3"/>
      <c r="D543" s="3"/>
    </row>
    <row r="544">
      <c r="B544" s="3"/>
      <c r="C544" s="3"/>
      <c r="D544" s="3"/>
    </row>
    <row r="545">
      <c r="B545" s="3"/>
      <c r="C545" s="3"/>
      <c r="D545" s="3"/>
    </row>
    <row r="546">
      <c r="B546" s="3"/>
      <c r="C546" s="3"/>
      <c r="D546" s="3"/>
    </row>
    <row r="547">
      <c r="B547" s="3"/>
      <c r="C547" s="3"/>
      <c r="D547" s="3"/>
    </row>
    <row r="548">
      <c r="B548" s="3"/>
      <c r="C548" s="3"/>
      <c r="D548" s="3"/>
    </row>
    <row r="549">
      <c r="B549" s="3"/>
      <c r="C549" s="3"/>
      <c r="D549" s="3"/>
    </row>
    <row r="550">
      <c r="B550" s="3"/>
      <c r="C550" s="3"/>
      <c r="D550" s="3"/>
    </row>
    <row r="551">
      <c r="B551" s="3"/>
      <c r="C551" s="3"/>
      <c r="D551" s="3"/>
    </row>
    <row r="552">
      <c r="B552" s="3"/>
      <c r="C552" s="3"/>
      <c r="D552" s="3"/>
    </row>
    <row r="553">
      <c r="B553" s="3"/>
      <c r="C553" s="3"/>
      <c r="D553" s="3"/>
    </row>
    <row r="554">
      <c r="B554" s="3"/>
      <c r="C554" s="3"/>
      <c r="D554" s="3"/>
    </row>
    <row r="555">
      <c r="B555" s="3"/>
      <c r="C555" s="3"/>
      <c r="D555" s="3"/>
    </row>
    <row r="556">
      <c r="B556" s="3"/>
      <c r="C556" s="3"/>
      <c r="D556" s="3"/>
    </row>
    <row r="557">
      <c r="B557" s="3"/>
      <c r="C557" s="3"/>
      <c r="D557" s="3"/>
    </row>
    <row r="558">
      <c r="B558" s="3"/>
      <c r="C558" s="3"/>
      <c r="D558" s="3"/>
    </row>
    <row r="559">
      <c r="B559" s="3"/>
      <c r="C559" s="3"/>
      <c r="D559" s="3"/>
    </row>
    <row r="560">
      <c r="B560" s="3"/>
      <c r="C560" s="3"/>
      <c r="D560" s="3"/>
    </row>
    <row r="561">
      <c r="B561" s="3"/>
      <c r="C561" s="3"/>
      <c r="D561" s="3"/>
    </row>
    <row r="562">
      <c r="B562" s="3"/>
      <c r="C562" s="3"/>
      <c r="D562" s="3"/>
    </row>
    <row r="563">
      <c r="B563" s="3"/>
      <c r="C563" s="3"/>
      <c r="D563" s="3"/>
    </row>
    <row r="564">
      <c r="B564" s="3"/>
      <c r="C564" s="3"/>
      <c r="D564" s="3"/>
    </row>
    <row r="565">
      <c r="B565" s="3"/>
      <c r="C565" s="3"/>
      <c r="D565" s="3"/>
    </row>
    <row r="566">
      <c r="B566" s="3"/>
      <c r="C566" s="3"/>
      <c r="D566" s="3"/>
    </row>
    <row r="567">
      <c r="B567" s="3"/>
      <c r="C567" s="3"/>
      <c r="D567" s="3"/>
    </row>
    <row r="568">
      <c r="B568" s="3"/>
      <c r="C568" s="3"/>
      <c r="D568" s="3"/>
    </row>
    <row r="569">
      <c r="B569" s="3"/>
      <c r="C569" s="3"/>
      <c r="D569" s="3"/>
    </row>
    <row r="570">
      <c r="B570" s="3"/>
      <c r="C570" s="3"/>
      <c r="D570" s="3"/>
    </row>
    <row r="571">
      <c r="B571" s="3"/>
      <c r="C571" s="3"/>
      <c r="D571" s="3"/>
    </row>
    <row r="572">
      <c r="B572" s="3"/>
      <c r="C572" s="3"/>
      <c r="D572" s="3"/>
    </row>
    <row r="573">
      <c r="B573" s="3"/>
      <c r="C573" s="3"/>
      <c r="D573" s="3"/>
    </row>
    <row r="574">
      <c r="B574" s="3"/>
      <c r="C574" s="3"/>
      <c r="D574" s="3"/>
    </row>
    <row r="575">
      <c r="B575" s="3"/>
      <c r="C575" s="3"/>
      <c r="D575" s="3"/>
    </row>
    <row r="576">
      <c r="B576" s="3"/>
      <c r="C576" s="3"/>
      <c r="D576" s="3"/>
    </row>
    <row r="577">
      <c r="B577" s="3"/>
      <c r="C577" s="3"/>
      <c r="D577" s="3"/>
    </row>
    <row r="578">
      <c r="B578" s="3"/>
      <c r="C578" s="3"/>
      <c r="D578" s="3"/>
    </row>
    <row r="579">
      <c r="B579" s="3"/>
      <c r="C579" s="3"/>
      <c r="D579" s="3"/>
    </row>
    <row r="580">
      <c r="B580" s="3"/>
      <c r="C580" s="3"/>
      <c r="D580" s="3"/>
    </row>
    <row r="581">
      <c r="B581" s="3"/>
      <c r="C581" s="3"/>
      <c r="D581" s="3"/>
    </row>
    <row r="582">
      <c r="B582" s="3"/>
      <c r="C582" s="3"/>
      <c r="D582" s="3"/>
    </row>
    <row r="583">
      <c r="B583" s="3"/>
      <c r="C583" s="3"/>
      <c r="D583" s="3"/>
    </row>
    <row r="584">
      <c r="B584" s="3"/>
      <c r="C584" s="3"/>
      <c r="D584" s="3"/>
    </row>
    <row r="585">
      <c r="B585" s="3"/>
      <c r="C585" s="3"/>
      <c r="D585" s="3"/>
    </row>
    <row r="586">
      <c r="B586" s="3"/>
      <c r="C586" s="3"/>
      <c r="D586" s="3"/>
    </row>
    <row r="587">
      <c r="B587" s="3"/>
      <c r="C587" s="3"/>
      <c r="D587" s="3"/>
    </row>
    <row r="588">
      <c r="B588" s="3"/>
      <c r="C588" s="3"/>
      <c r="D588" s="3"/>
    </row>
    <row r="589">
      <c r="B589" s="3"/>
      <c r="C589" s="3"/>
      <c r="D589" s="3"/>
    </row>
    <row r="590">
      <c r="B590" s="3"/>
      <c r="C590" s="3"/>
      <c r="D590" s="3"/>
    </row>
    <row r="591">
      <c r="B591" s="3"/>
      <c r="C591" s="3"/>
      <c r="D591" s="3"/>
    </row>
    <row r="592">
      <c r="B592" s="3"/>
      <c r="C592" s="3"/>
      <c r="D592" s="3"/>
    </row>
    <row r="593">
      <c r="B593" s="3"/>
      <c r="C593" s="3"/>
      <c r="D593" s="3"/>
    </row>
    <row r="594">
      <c r="B594" s="3"/>
      <c r="C594" s="3"/>
      <c r="D594" s="3"/>
    </row>
    <row r="595">
      <c r="B595" s="3"/>
      <c r="C595" s="3"/>
      <c r="D595" s="3"/>
    </row>
    <row r="596">
      <c r="B596" s="3"/>
      <c r="C596" s="3"/>
      <c r="D596" s="3"/>
    </row>
    <row r="597">
      <c r="B597" s="3"/>
      <c r="C597" s="3"/>
      <c r="D597" s="3"/>
    </row>
    <row r="598">
      <c r="B598" s="3"/>
      <c r="C598" s="3"/>
      <c r="D598" s="3"/>
    </row>
    <row r="599">
      <c r="B599" s="3"/>
      <c r="C599" s="3"/>
      <c r="D599" s="3"/>
    </row>
    <row r="600">
      <c r="B600" s="3"/>
      <c r="C600" s="3"/>
      <c r="D600" s="3"/>
    </row>
    <row r="601">
      <c r="B601" s="3"/>
      <c r="C601" s="3"/>
      <c r="D601" s="3"/>
    </row>
    <row r="602">
      <c r="B602" s="3"/>
      <c r="C602" s="3"/>
      <c r="D602" s="3"/>
    </row>
    <row r="603">
      <c r="B603" s="3"/>
      <c r="C603" s="3"/>
      <c r="D603" s="3"/>
    </row>
    <row r="604">
      <c r="B604" s="3"/>
      <c r="C604" s="3"/>
      <c r="D604" s="3"/>
    </row>
    <row r="605">
      <c r="B605" s="3"/>
      <c r="C605" s="3"/>
      <c r="D605" s="3"/>
    </row>
    <row r="606">
      <c r="B606" s="3"/>
      <c r="C606" s="3"/>
      <c r="D606" s="3"/>
    </row>
    <row r="607">
      <c r="B607" s="3"/>
      <c r="C607" s="3"/>
      <c r="D607" s="3"/>
    </row>
    <row r="608">
      <c r="B608" s="3"/>
      <c r="C608" s="3"/>
      <c r="D608" s="3"/>
    </row>
    <row r="609">
      <c r="B609" s="3"/>
      <c r="C609" s="3"/>
      <c r="D609" s="3"/>
    </row>
    <row r="610">
      <c r="B610" s="3"/>
      <c r="C610" s="3"/>
      <c r="D610" s="3"/>
    </row>
    <row r="611">
      <c r="B611" s="3"/>
      <c r="C611" s="3"/>
      <c r="D611" s="3"/>
    </row>
    <row r="612">
      <c r="B612" s="3"/>
      <c r="C612" s="3"/>
      <c r="D612" s="3"/>
    </row>
    <row r="613">
      <c r="B613" s="3"/>
      <c r="C613" s="3"/>
      <c r="D613" s="3"/>
    </row>
    <row r="614">
      <c r="B614" s="3"/>
      <c r="C614" s="3"/>
      <c r="D614" s="3"/>
    </row>
    <row r="615">
      <c r="B615" s="3"/>
      <c r="C615" s="3"/>
      <c r="D615" s="3"/>
    </row>
    <row r="616">
      <c r="B616" s="3"/>
      <c r="C616" s="3"/>
      <c r="D616" s="3"/>
    </row>
    <row r="617">
      <c r="B617" s="3"/>
      <c r="C617" s="3"/>
      <c r="D617" s="3"/>
    </row>
    <row r="618">
      <c r="B618" s="3"/>
      <c r="C618" s="3"/>
      <c r="D618" s="3"/>
    </row>
    <row r="619">
      <c r="B619" s="3"/>
      <c r="C619" s="3"/>
      <c r="D619" s="3"/>
    </row>
    <row r="620">
      <c r="B620" s="3"/>
      <c r="C620" s="3"/>
      <c r="D620" s="3"/>
    </row>
    <row r="621">
      <c r="B621" s="3"/>
      <c r="C621" s="3"/>
      <c r="D621" s="3"/>
    </row>
    <row r="622">
      <c r="B622" s="3"/>
      <c r="C622" s="3"/>
      <c r="D622" s="3"/>
    </row>
    <row r="623">
      <c r="B623" s="3"/>
      <c r="C623" s="3"/>
      <c r="D623" s="3"/>
    </row>
    <row r="624">
      <c r="B624" s="3"/>
      <c r="C624" s="3"/>
      <c r="D624" s="3"/>
    </row>
    <row r="625">
      <c r="B625" s="3"/>
      <c r="C625" s="3"/>
      <c r="D625" s="3"/>
    </row>
    <row r="626">
      <c r="B626" s="3"/>
      <c r="C626" s="3"/>
      <c r="D626" s="3"/>
    </row>
    <row r="627">
      <c r="B627" s="3"/>
      <c r="C627" s="3"/>
      <c r="D627" s="3"/>
    </row>
    <row r="628">
      <c r="B628" s="3"/>
      <c r="C628" s="3"/>
      <c r="D628" s="3"/>
    </row>
    <row r="629">
      <c r="B629" s="3"/>
      <c r="C629" s="3"/>
      <c r="D629" s="3"/>
    </row>
    <row r="630">
      <c r="B630" s="3"/>
      <c r="C630" s="3"/>
      <c r="D630" s="3"/>
    </row>
    <row r="631">
      <c r="B631" s="3"/>
      <c r="C631" s="3"/>
      <c r="D631" s="3"/>
    </row>
    <row r="632">
      <c r="B632" s="3"/>
      <c r="C632" s="3"/>
      <c r="D632" s="3"/>
    </row>
    <row r="633">
      <c r="B633" s="3"/>
      <c r="C633" s="3"/>
      <c r="D633" s="3"/>
    </row>
    <row r="634">
      <c r="B634" s="3"/>
      <c r="C634" s="3"/>
      <c r="D634" s="3"/>
    </row>
    <row r="635">
      <c r="B635" s="3"/>
      <c r="C635" s="3"/>
      <c r="D635" s="3"/>
    </row>
    <row r="636">
      <c r="B636" s="3"/>
      <c r="C636" s="3"/>
      <c r="D636" s="3"/>
    </row>
    <row r="637">
      <c r="B637" s="3"/>
      <c r="C637" s="3"/>
      <c r="D637" s="3"/>
    </row>
    <row r="638">
      <c r="B638" s="3"/>
      <c r="C638" s="3"/>
      <c r="D638" s="3"/>
    </row>
    <row r="639">
      <c r="B639" s="3"/>
      <c r="C639" s="3"/>
      <c r="D639" s="3"/>
    </row>
    <row r="640">
      <c r="B640" s="3"/>
      <c r="C640" s="3"/>
      <c r="D640" s="3"/>
    </row>
    <row r="641">
      <c r="B641" s="3"/>
      <c r="C641" s="3"/>
      <c r="D641" s="3"/>
    </row>
    <row r="642">
      <c r="B642" s="3"/>
      <c r="C642" s="3"/>
      <c r="D642" s="3"/>
    </row>
    <row r="643">
      <c r="B643" s="3"/>
      <c r="C643" s="3"/>
      <c r="D643" s="3"/>
    </row>
    <row r="644">
      <c r="B644" s="3"/>
      <c r="C644" s="3"/>
      <c r="D644" s="3"/>
    </row>
    <row r="645">
      <c r="B645" s="3"/>
      <c r="C645" s="3"/>
      <c r="D645" s="3"/>
    </row>
    <row r="646">
      <c r="B646" s="3"/>
      <c r="C646" s="3"/>
      <c r="D646" s="3"/>
    </row>
    <row r="647">
      <c r="B647" s="3"/>
      <c r="C647" s="3"/>
      <c r="D647" s="3"/>
    </row>
    <row r="648">
      <c r="B648" s="3"/>
      <c r="C648" s="3"/>
      <c r="D648" s="3"/>
    </row>
    <row r="649">
      <c r="B649" s="3"/>
      <c r="C649" s="3"/>
      <c r="D649" s="3"/>
    </row>
    <row r="650">
      <c r="B650" s="3"/>
      <c r="C650" s="3"/>
      <c r="D650" s="3"/>
    </row>
    <row r="651">
      <c r="B651" s="3"/>
      <c r="C651" s="3"/>
      <c r="D651" s="3"/>
    </row>
    <row r="652">
      <c r="B652" s="3"/>
      <c r="C652" s="3"/>
      <c r="D652" s="3"/>
    </row>
    <row r="653">
      <c r="B653" s="3"/>
      <c r="C653" s="3"/>
      <c r="D653" s="3"/>
    </row>
    <row r="654">
      <c r="B654" s="3"/>
      <c r="C654" s="3"/>
      <c r="D654" s="3"/>
    </row>
    <row r="655">
      <c r="B655" s="3"/>
      <c r="C655" s="3"/>
      <c r="D655" s="3"/>
    </row>
    <row r="656">
      <c r="B656" s="3"/>
      <c r="C656" s="3"/>
      <c r="D656" s="3"/>
    </row>
    <row r="657">
      <c r="B657" s="3"/>
      <c r="C657" s="3"/>
      <c r="D657" s="3"/>
    </row>
    <row r="658">
      <c r="B658" s="3"/>
      <c r="C658" s="3"/>
      <c r="D658" s="3"/>
    </row>
    <row r="659">
      <c r="B659" s="3"/>
      <c r="C659" s="3"/>
      <c r="D659" s="3"/>
    </row>
    <row r="660">
      <c r="B660" s="3"/>
      <c r="C660" s="3"/>
      <c r="D660" s="3"/>
    </row>
    <row r="661">
      <c r="B661" s="3"/>
      <c r="C661" s="3"/>
      <c r="D661" s="3"/>
    </row>
    <row r="662">
      <c r="B662" s="3"/>
      <c r="C662" s="3"/>
      <c r="D662" s="3"/>
    </row>
    <row r="663">
      <c r="B663" s="3"/>
      <c r="C663" s="3"/>
      <c r="D663" s="3"/>
    </row>
    <row r="664">
      <c r="B664" s="3"/>
      <c r="C664" s="3"/>
      <c r="D664" s="3"/>
    </row>
    <row r="665">
      <c r="B665" s="3"/>
      <c r="C665" s="3"/>
      <c r="D665" s="3"/>
    </row>
    <row r="666">
      <c r="B666" s="3"/>
      <c r="C666" s="3"/>
      <c r="D666" s="3"/>
    </row>
    <row r="667">
      <c r="B667" s="3"/>
      <c r="C667" s="3"/>
      <c r="D667" s="3"/>
    </row>
    <row r="668">
      <c r="B668" s="3"/>
      <c r="C668" s="3"/>
      <c r="D668" s="3"/>
    </row>
    <row r="669">
      <c r="B669" s="3"/>
      <c r="C669" s="3"/>
      <c r="D669" s="3"/>
    </row>
    <row r="670">
      <c r="B670" s="3"/>
      <c r="C670" s="3"/>
      <c r="D670" s="3"/>
    </row>
    <row r="671">
      <c r="B671" s="3"/>
      <c r="C671" s="3"/>
      <c r="D671" s="3"/>
    </row>
    <row r="672">
      <c r="B672" s="3"/>
      <c r="C672" s="3"/>
      <c r="D672" s="3"/>
    </row>
    <row r="673">
      <c r="B673" s="3"/>
      <c r="C673" s="3"/>
      <c r="D673" s="3"/>
    </row>
    <row r="674">
      <c r="B674" s="3"/>
      <c r="C674" s="3"/>
      <c r="D674" s="3"/>
    </row>
    <row r="675">
      <c r="B675" s="3"/>
      <c r="C675" s="3"/>
      <c r="D675" s="3"/>
    </row>
    <row r="676">
      <c r="B676" s="3"/>
      <c r="C676" s="3"/>
      <c r="D676" s="3"/>
    </row>
    <row r="677">
      <c r="B677" s="3"/>
      <c r="C677" s="3"/>
      <c r="D677" s="3"/>
    </row>
    <row r="678">
      <c r="B678" s="3"/>
      <c r="C678" s="3"/>
      <c r="D678" s="3"/>
    </row>
    <row r="679">
      <c r="B679" s="3"/>
      <c r="C679" s="3"/>
      <c r="D679" s="3"/>
    </row>
    <row r="680">
      <c r="B680" s="3"/>
      <c r="C680" s="3"/>
      <c r="D680" s="3"/>
    </row>
    <row r="681">
      <c r="B681" s="3"/>
      <c r="C681" s="3"/>
      <c r="D681" s="3"/>
    </row>
    <row r="682">
      <c r="B682" s="3"/>
      <c r="C682" s="3"/>
      <c r="D682" s="3"/>
    </row>
    <row r="683">
      <c r="B683" s="3"/>
      <c r="C683" s="3"/>
      <c r="D683" s="3"/>
    </row>
    <row r="684">
      <c r="B684" s="3"/>
      <c r="C684" s="3"/>
      <c r="D684" s="3"/>
    </row>
    <row r="685">
      <c r="B685" s="3"/>
      <c r="C685" s="3"/>
      <c r="D685" s="3"/>
    </row>
    <row r="686">
      <c r="B686" s="3"/>
      <c r="C686" s="3"/>
      <c r="D686" s="3"/>
    </row>
    <row r="687">
      <c r="B687" s="3"/>
      <c r="C687" s="3"/>
      <c r="D687" s="3"/>
    </row>
    <row r="688">
      <c r="B688" s="3"/>
      <c r="C688" s="3"/>
      <c r="D688" s="3"/>
    </row>
    <row r="689">
      <c r="B689" s="3"/>
      <c r="C689" s="3"/>
      <c r="D689" s="3"/>
    </row>
    <row r="690">
      <c r="B690" s="3"/>
      <c r="C690" s="3"/>
      <c r="D690" s="3"/>
    </row>
    <row r="691">
      <c r="B691" s="3"/>
      <c r="C691" s="3"/>
      <c r="D691" s="3"/>
    </row>
    <row r="692">
      <c r="B692" s="3"/>
      <c r="C692" s="3"/>
      <c r="D692" s="3"/>
    </row>
    <row r="693">
      <c r="B693" s="3"/>
      <c r="C693" s="3"/>
      <c r="D693" s="3"/>
    </row>
    <row r="694">
      <c r="B694" s="3"/>
      <c r="C694" s="3"/>
      <c r="D694" s="3"/>
    </row>
    <row r="695">
      <c r="B695" s="3"/>
      <c r="C695" s="3"/>
      <c r="D695" s="3"/>
    </row>
    <row r="696">
      <c r="B696" s="3"/>
      <c r="C696" s="3"/>
      <c r="D696" s="3"/>
    </row>
    <row r="697">
      <c r="B697" s="3"/>
      <c r="C697" s="3"/>
      <c r="D697" s="3"/>
    </row>
    <row r="698">
      <c r="B698" s="3"/>
      <c r="C698" s="3"/>
      <c r="D698" s="3"/>
    </row>
    <row r="699">
      <c r="B699" s="3"/>
      <c r="C699" s="3"/>
      <c r="D699" s="3"/>
    </row>
    <row r="700">
      <c r="B700" s="3"/>
      <c r="C700" s="3"/>
      <c r="D700" s="3"/>
    </row>
    <row r="701">
      <c r="B701" s="3"/>
      <c r="C701" s="3"/>
      <c r="D701" s="3"/>
    </row>
    <row r="702">
      <c r="B702" s="3"/>
      <c r="C702" s="3"/>
      <c r="D702" s="3"/>
    </row>
    <row r="703">
      <c r="B703" s="3"/>
      <c r="C703" s="3"/>
      <c r="D703" s="3"/>
    </row>
    <row r="704">
      <c r="B704" s="3"/>
      <c r="C704" s="3"/>
      <c r="D704" s="3"/>
    </row>
    <row r="705">
      <c r="B705" s="3"/>
      <c r="C705" s="3"/>
      <c r="D705" s="3"/>
    </row>
    <row r="706">
      <c r="B706" s="3"/>
      <c r="C706" s="3"/>
      <c r="D706" s="3"/>
    </row>
    <row r="707">
      <c r="B707" s="3"/>
      <c r="C707" s="3"/>
      <c r="D707" s="3"/>
    </row>
    <row r="708">
      <c r="B708" s="3"/>
      <c r="C708" s="3"/>
      <c r="D708" s="3"/>
    </row>
    <row r="709">
      <c r="B709" s="3"/>
      <c r="C709" s="3"/>
      <c r="D709" s="3"/>
    </row>
    <row r="710">
      <c r="B710" s="3"/>
      <c r="C710" s="3"/>
      <c r="D710" s="3"/>
    </row>
    <row r="711">
      <c r="B711" s="3"/>
      <c r="C711" s="3"/>
      <c r="D711" s="3"/>
    </row>
    <row r="712">
      <c r="B712" s="3"/>
      <c r="C712" s="3"/>
      <c r="D712" s="3"/>
    </row>
    <row r="713">
      <c r="B713" s="3"/>
      <c r="C713" s="3"/>
      <c r="D713" s="3"/>
    </row>
    <row r="714">
      <c r="B714" s="3"/>
      <c r="C714" s="3"/>
      <c r="D714" s="3"/>
    </row>
    <row r="715">
      <c r="B715" s="3"/>
      <c r="C715" s="3"/>
      <c r="D715" s="3"/>
    </row>
    <row r="716">
      <c r="B716" s="3"/>
      <c r="C716" s="3"/>
      <c r="D716" s="3"/>
    </row>
    <row r="717">
      <c r="B717" s="3"/>
      <c r="C717" s="3"/>
      <c r="D717" s="3"/>
    </row>
    <row r="718">
      <c r="B718" s="3"/>
      <c r="C718" s="3"/>
      <c r="D718" s="3"/>
    </row>
    <row r="719">
      <c r="B719" s="3"/>
      <c r="C719" s="3"/>
      <c r="D719" s="3"/>
    </row>
    <row r="720">
      <c r="B720" s="3"/>
      <c r="C720" s="3"/>
      <c r="D720" s="3"/>
    </row>
    <row r="721">
      <c r="B721" s="3"/>
      <c r="C721" s="3"/>
      <c r="D721" s="3"/>
    </row>
    <row r="722">
      <c r="B722" s="3"/>
      <c r="C722" s="3"/>
      <c r="D722" s="3"/>
    </row>
    <row r="723">
      <c r="B723" s="3"/>
      <c r="C723" s="3"/>
      <c r="D723" s="3"/>
    </row>
    <row r="724">
      <c r="B724" s="3"/>
      <c r="C724" s="3"/>
      <c r="D724" s="3"/>
    </row>
    <row r="725">
      <c r="B725" s="3"/>
      <c r="C725" s="3"/>
      <c r="D725" s="3"/>
    </row>
    <row r="726">
      <c r="B726" s="3"/>
      <c r="C726" s="3"/>
      <c r="D726" s="3"/>
    </row>
    <row r="727">
      <c r="B727" s="3"/>
      <c r="C727" s="3"/>
      <c r="D727" s="3"/>
    </row>
    <row r="728">
      <c r="B728" s="3"/>
      <c r="C728" s="3"/>
      <c r="D728" s="3"/>
    </row>
    <row r="729">
      <c r="B729" s="3"/>
      <c r="C729" s="3"/>
      <c r="D729" s="3"/>
    </row>
    <row r="730">
      <c r="B730" s="3"/>
      <c r="C730" s="3"/>
      <c r="D730" s="3"/>
    </row>
    <row r="731">
      <c r="B731" s="3"/>
      <c r="C731" s="3"/>
      <c r="D731" s="3"/>
    </row>
    <row r="732">
      <c r="B732" s="3"/>
      <c r="C732" s="3"/>
      <c r="D732" s="3"/>
    </row>
    <row r="733">
      <c r="B733" s="3"/>
      <c r="C733" s="3"/>
      <c r="D733" s="3"/>
    </row>
    <row r="734">
      <c r="B734" s="3"/>
      <c r="C734" s="3"/>
      <c r="D734" s="3"/>
    </row>
    <row r="735">
      <c r="B735" s="3"/>
      <c r="C735" s="3"/>
      <c r="D735" s="3"/>
    </row>
    <row r="736">
      <c r="B736" s="3"/>
      <c r="C736" s="3"/>
      <c r="D736" s="3"/>
    </row>
    <row r="737">
      <c r="B737" s="3"/>
      <c r="C737" s="3"/>
      <c r="D737" s="3"/>
    </row>
    <row r="738">
      <c r="B738" s="3"/>
      <c r="C738" s="3"/>
      <c r="D738" s="3"/>
    </row>
    <row r="739">
      <c r="B739" s="3"/>
      <c r="C739" s="3"/>
      <c r="D739" s="3"/>
    </row>
    <row r="740">
      <c r="B740" s="3"/>
      <c r="C740" s="3"/>
      <c r="D740" s="3"/>
    </row>
    <row r="741">
      <c r="B741" s="3"/>
      <c r="C741" s="3"/>
      <c r="D741" s="3"/>
    </row>
    <row r="742">
      <c r="B742" s="3"/>
      <c r="C742" s="3"/>
      <c r="D742" s="3"/>
    </row>
    <row r="743">
      <c r="B743" s="3"/>
      <c r="C743" s="3"/>
      <c r="D743" s="3"/>
    </row>
    <row r="744">
      <c r="B744" s="3"/>
      <c r="C744" s="3"/>
      <c r="D744" s="3"/>
    </row>
    <row r="745">
      <c r="B745" s="3"/>
      <c r="C745" s="3"/>
      <c r="D745" s="3"/>
    </row>
    <row r="746">
      <c r="B746" s="3"/>
      <c r="C746" s="3"/>
      <c r="D746" s="3"/>
    </row>
    <row r="747">
      <c r="B747" s="3"/>
      <c r="C747" s="3"/>
      <c r="D747" s="3"/>
    </row>
    <row r="748">
      <c r="B748" s="3"/>
      <c r="C748" s="3"/>
      <c r="D748" s="3"/>
    </row>
    <row r="749">
      <c r="B749" s="3"/>
      <c r="C749" s="3"/>
      <c r="D749" s="3"/>
    </row>
    <row r="750">
      <c r="B750" s="3"/>
      <c r="C750" s="3"/>
      <c r="D750" s="3"/>
    </row>
    <row r="751">
      <c r="B751" s="3"/>
      <c r="C751" s="3"/>
      <c r="D751" s="3"/>
    </row>
    <row r="752">
      <c r="B752" s="3"/>
      <c r="C752" s="3"/>
      <c r="D752" s="3"/>
    </row>
    <row r="753">
      <c r="B753" s="3"/>
      <c r="C753" s="3"/>
      <c r="D753" s="3"/>
    </row>
    <row r="754">
      <c r="B754" s="3"/>
      <c r="C754" s="3"/>
      <c r="D754" s="3"/>
    </row>
    <row r="755">
      <c r="B755" s="3"/>
      <c r="C755" s="3"/>
      <c r="D755" s="3"/>
    </row>
    <row r="756">
      <c r="B756" s="3"/>
      <c r="C756" s="3"/>
      <c r="D756" s="3"/>
    </row>
    <row r="757">
      <c r="B757" s="3"/>
      <c r="C757" s="3"/>
      <c r="D757" s="3"/>
    </row>
    <row r="758">
      <c r="B758" s="3"/>
      <c r="C758" s="3"/>
      <c r="D758" s="3"/>
    </row>
    <row r="759">
      <c r="B759" s="3"/>
      <c r="C759" s="3"/>
      <c r="D759" s="3"/>
    </row>
    <row r="760">
      <c r="B760" s="3"/>
      <c r="C760" s="3"/>
      <c r="D760" s="3"/>
    </row>
    <row r="761">
      <c r="B761" s="3"/>
      <c r="C761" s="3"/>
      <c r="D761" s="3"/>
    </row>
    <row r="762">
      <c r="B762" s="3"/>
      <c r="C762" s="3"/>
      <c r="D762" s="3"/>
    </row>
    <row r="763">
      <c r="B763" s="3"/>
      <c r="C763" s="3"/>
      <c r="D763" s="3"/>
    </row>
    <row r="764">
      <c r="B764" s="3"/>
      <c r="C764" s="3"/>
      <c r="D764" s="3"/>
    </row>
    <row r="765">
      <c r="B765" s="3"/>
      <c r="C765" s="3"/>
      <c r="D765" s="3"/>
    </row>
    <row r="766">
      <c r="B766" s="3"/>
      <c r="C766" s="3"/>
      <c r="D766" s="3"/>
    </row>
    <row r="767">
      <c r="B767" s="3"/>
      <c r="C767" s="3"/>
      <c r="D767" s="3"/>
    </row>
    <row r="768">
      <c r="B768" s="3"/>
      <c r="C768" s="3"/>
      <c r="D768" s="3"/>
    </row>
    <row r="769">
      <c r="B769" s="3"/>
      <c r="C769" s="3"/>
      <c r="D769" s="3"/>
    </row>
    <row r="770">
      <c r="B770" s="3"/>
      <c r="C770" s="3"/>
      <c r="D770" s="3"/>
    </row>
    <row r="771">
      <c r="B771" s="3"/>
      <c r="C771" s="3"/>
      <c r="D771" s="3"/>
    </row>
    <row r="772">
      <c r="B772" s="3"/>
      <c r="C772" s="3"/>
      <c r="D772" s="3"/>
    </row>
    <row r="773">
      <c r="B773" s="3"/>
      <c r="C773" s="3"/>
      <c r="D773" s="3"/>
    </row>
    <row r="774">
      <c r="B774" s="3"/>
      <c r="C774" s="3"/>
      <c r="D774" s="3"/>
    </row>
    <row r="775">
      <c r="B775" s="3"/>
      <c r="C775" s="3"/>
      <c r="D775" s="3"/>
    </row>
    <row r="776">
      <c r="B776" s="3"/>
      <c r="C776" s="3"/>
      <c r="D776" s="3"/>
    </row>
    <row r="777">
      <c r="B777" s="3"/>
      <c r="C777" s="3"/>
      <c r="D777" s="3"/>
    </row>
    <row r="778">
      <c r="B778" s="3"/>
      <c r="C778" s="3"/>
      <c r="D778" s="3"/>
    </row>
    <row r="779">
      <c r="B779" s="3"/>
      <c r="C779" s="3"/>
      <c r="D779" s="3"/>
    </row>
    <row r="780">
      <c r="B780" s="3"/>
      <c r="C780" s="3"/>
      <c r="D780" s="3"/>
    </row>
    <row r="781">
      <c r="B781" s="3"/>
      <c r="C781" s="3"/>
      <c r="D781" s="3"/>
    </row>
    <row r="782">
      <c r="B782" s="3"/>
      <c r="C782" s="3"/>
      <c r="D782" s="3"/>
    </row>
    <row r="783">
      <c r="B783" s="3"/>
      <c r="C783" s="3"/>
      <c r="D783" s="3"/>
    </row>
    <row r="784">
      <c r="B784" s="3"/>
      <c r="C784" s="3"/>
      <c r="D784" s="3"/>
    </row>
    <row r="785">
      <c r="B785" s="3"/>
      <c r="C785" s="3"/>
      <c r="D785" s="3"/>
    </row>
    <row r="786">
      <c r="B786" s="3"/>
      <c r="C786" s="3"/>
      <c r="D786" s="3"/>
    </row>
    <row r="787">
      <c r="B787" s="3"/>
      <c r="C787" s="3"/>
      <c r="D787" s="3"/>
    </row>
    <row r="788">
      <c r="B788" s="3"/>
      <c r="C788" s="3"/>
      <c r="D788" s="3"/>
    </row>
    <row r="789">
      <c r="B789" s="3"/>
      <c r="C789" s="3"/>
      <c r="D789" s="3"/>
    </row>
    <row r="790">
      <c r="B790" s="3"/>
      <c r="C790" s="3"/>
      <c r="D790" s="3"/>
    </row>
    <row r="791">
      <c r="B791" s="3"/>
      <c r="C791" s="3"/>
      <c r="D791" s="3"/>
    </row>
    <row r="792">
      <c r="B792" s="3"/>
      <c r="C792" s="3"/>
      <c r="D792" s="3"/>
    </row>
    <row r="793">
      <c r="B793" s="3"/>
      <c r="C793" s="3"/>
      <c r="D793" s="3"/>
    </row>
    <row r="794">
      <c r="B794" s="3"/>
      <c r="C794" s="3"/>
      <c r="D794" s="3"/>
    </row>
    <row r="795">
      <c r="B795" s="3"/>
      <c r="C795" s="3"/>
      <c r="D795" s="3"/>
    </row>
    <row r="796">
      <c r="B796" s="3"/>
      <c r="C796" s="3"/>
      <c r="D796" s="3"/>
    </row>
    <row r="797">
      <c r="B797" s="3"/>
      <c r="C797" s="3"/>
      <c r="D797" s="3"/>
    </row>
    <row r="798">
      <c r="B798" s="3"/>
      <c r="C798" s="3"/>
      <c r="D798" s="3"/>
    </row>
    <row r="799">
      <c r="B799" s="3"/>
      <c r="C799" s="3"/>
      <c r="D799" s="3"/>
    </row>
    <row r="800">
      <c r="B800" s="3"/>
      <c r="C800" s="3"/>
      <c r="D800" s="3"/>
    </row>
    <row r="801">
      <c r="B801" s="3"/>
      <c r="C801" s="3"/>
      <c r="D801" s="3"/>
    </row>
    <row r="802">
      <c r="B802" s="3"/>
      <c r="C802" s="3"/>
      <c r="D802" s="3"/>
    </row>
    <row r="803">
      <c r="B803" s="3"/>
      <c r="C803" s="3"/>
      <c r="D803" s="3"/>
    </row>
    <row r="804">
      <c r="B804" s="3"/>
      <c r="C804" s="3"/>
      <c r="D804" s="3"/>
    </row>
    <row r="805">
      <c r="B805" s="3"/>
      <c r="C805" s="3"/>
      <c r="D805" s="3"/>
    </row>
    <row r="806">
      <c r="B806" s="3"/>
      <c r="C806" s="3"/>
      <c r="D806" s="3"/>
    </row>
    <row r="807">
      <c r="B807" s="3"/>
      <c r="C807" s="3"/>
      <c r="D807" s="3"/>
    </row>
    <row r="808">
      <c r="B808" s="3"/>
      <c r="C808" s="3"/>
      <c r="D808" s="3"/>
    </row>
    <row r="809">
      <c r="B809" s="3"/>
      <c r="C809" s="3"/>
      <c r="D809" s="3"/>
    </row>
    <row r="810">
      <c r="B810" s="3"/>
      <c r="C810" s="3"/>
      <c r="D810" s="3"/>
    </row>
    <row r="811">
      <c r="B811" s="3"/>
      <c r="C811" s="3"/>
      <c r="D811" s="3"/>
    </row>
    <row r="812">
      <c r="B812" s="3"/>
      <c r="C812" s="3"/>
      <c r="D812" s="3"/>
    </row>
    <row r="813">
      <c r="B813" s="3"/>
      <c r="C813" s="3"/>
      <c r="D813" s="3"/>
    </row>
    <row r="814">
      <c r="B814" s="3"/>
      <c r="C814" s="3"/>
      <c r="D814" s="3"/>
    </row>
    <row r="815">
      <c r="B815" s="3"/>
      <c r="C815" s="3"/>
      <c r="D815" s="3"/>
    </row>
    <row r="816">
      <c r="B816" s="3"/>
      <c r="C816" s="3"/>
      <c r="D816" s="3"/>
    </row>
    <row r="817">
      <c r="B817" s="3"/>
      <c r="C817" s="3"/>
      <c r="D817" s="3"/>
    </row>
    <row r="818">
      <c r="B818" s="3"/>
      <c r="C818" s="3"/>
      <c r="D818" s="3"/>
    </row>
    <row r="819">
      <c r="B819" s="3"/>
      <c r="C819" s="3"/>
      <c r="D819" s="3"/>
    </row>
    <row r="820">
      <c r="B820" s="3"/>
      <c r="C820" s="3"/>
      <c r="D820" s="3"/>
    </row>
    <row r="821">
      <c r="B821" s="3"/>
      <c r="C821" s="3"/>
      <c r="D821" s="3"/>
    </row>
    <row r="822">
      <c r="B822" s="3"/>
      <c r="C822" s="3"/>
      <c r="D822" s="3"/>
    </row>
    <row r="823">
      <c r="B823" s="3"/>
      <c r="C823" s="3"/>
      <c r="D823" s="3"/>
    </row>
    <row r="824">
      <c r="B824" s="3"/>
      <c r="C824" s="3"/>
      <c r="D824" s="3"/>
    </row>
    <row r="825">
      <c r="B825" s="3"/>
      <c r="C825" s="3"/>
      <c r="D825" s="3"/>
    </row>
    <row r="826">
      <c r="B826" s="3"/>
      <c r="C826" s="3"/>
      <c r="D826" s="3"/>
    </row>
    <row r="827">
      <c r="B827" s="3"/>
      <c r="C827" s="3"/>
      <c r="D827" s="3"/>
    </row>
    <row r="828">
      <c r="B828" s="3"/>
      <c r="C828" s="3"/>
      <c r="D828" s="3"/>
    </row>
    <row r="829">
      <c r="B829" s="3"/>
      <c r="C829" s="3"/>
      <c r="D829" s="3"/>
    </row>
    <row r="830">
      <c r="B830" s="3"/>
      <c r="C830" s="3"/>
      <c r="D830" s="3"/>
    </row>
    <row r="831">
      <c r="B831" s="3"/>
      <c r="C831" s="3"/>
      <c r="D831" s="3"/>
    </row>
    <row r="832">
      <c r="B832" s="3"/>
      <c r="C832" s="3"/>
      <c r="D832" s="3"/>
    </row>
    <row r="833">
      <c r="B833" s="3"/>
      <c r="C833" s="3"/>
      <c r="D833" s="3"/>
    </row>
    <row r="834">
      <c r="B834" s="3"/>
      <c r="C834" s="3"/>
      <c r="D834" s="3"/>
    </row>
    <row r="835">
      <c r="B835" s="3"/>
      <c r="C835" s="3"/>
      <c r="D835" s="3"/>
    </row>
    <row r="836">
      <c r="B836" s="3"/>
      <c r="C836" s="3"/>
      <c r="D836" s="3"/>
    </row>
    <row r="837">
      <c r="B837" s="3"/>
      <c r="C837" s="3"/>
      <c r="D837" s="3"/>
    </row>
    <row r="838">
      <c r="B838" s="3"/>
      <c r="C838" s="3"/>
      <c r="D838" s="3"/>
    </row>
    <row r="839">
      <c r="B839" s="3"/>
      <c r="C839" s="3"/>
      <c r="D839" s="3"/>
    </row>
    <row r="840">
      <c r="B840" s="3"/>
      <c r="C840" s="3"/>
      <c r="D840" s="3"/>
    </row>
    <row r="841">
      <c r="B841" s="3"/>
      <c r="C841" s="3"/>
      <c r="D841" s="3"/>
    </row>
    <row r="842">
      <c r="B842" s="3"/>
      <c r="C842" s="3"/>
      <c r="D842" s="3"/>
    </row>
    <row r="843">
      <c r="B843" s="3"/>
      <c r="C843" s="3"/>
      <c r="D843" s="3"/>
    </row>
    <row r="844">
      <c r="B844" s="3"/>
      <c r="C844" s="3"/>
      <c r="D844" s="3"/>
    </row>
    <row r="845">
      <c r="B845" s="3"/>
      <c r="C845" s="3"/>
      <c r="D845" s="3"/>
    </row>
    <row r="846">
      <c r="B846" s="3"/>
      <c r="C846" s="3"/>
      <c r="D846" s="3"/>
    </row>
    <row r="847">
      <c r="B847" s="3"/>
      <c r="C847" s="3"/>
      <c r="D847" s="3"/>
    </row>
    <row r="848">
      <c r="B848" s="3"/>
      <c r="C848" s="3"/>
      <c r="D848" s="3"/>
    </row>
    <row r="849">
      <c r="B849" s="3"/>
      <c r="C849" s="3"/>
      <c r="D849" s="3"/>
    </row>
    <row r="850">
      <c r="B850" s="3"/>
      <c r="C850" s="3"/>
      <c r="D850" s="3"/>
    </row>
    <row r="851">
      <c r="B851" s="3"/>
      <c r="C851" s="3"/>
      <c r="D851" s="3"/>
    </row>
    <row r="852">
      <c r="B852" s="3"/>
      <c r="C852" s="3"/>
      <c r="D852" s="3"/>
    </row>
    <row r="853">
      <c r="B853" s="3"/>
      <c r="C853" s="3"/>
      <c r="D853" s="3"/>
    </row>
    <row r="854">
      <c r="B854" s="3"/>
      <c r="C854" s="3"/>
      <c r="D854" s="3"/>
    </row>
    <row r="855">
      <c r="B855" s="3"/>
      <c r="C855" s="3"/>
      <c r="D855" s="3"/>
    </row>
    <row r="856">
      <c r="B856" s="3"/>
      <c r="C856" s="3"/>
      <c r="D856" s="3"/>
    </row>
    <row r="857">
      <c r="B857" s="3"/>
      <c r="C857" s="3"/>
      <c r="D857" s="3"/>
    </row>
    <row r="858">
      <c r="B858" s="3"/>
      <c r="C858" s="3"/>
      <c r="D858" s="3"/>
    </row>
    <row r="859">
      <c r="B859" s="3"/>
      <c r="C859" s="3"/>
      <c r="D859" s="3"/>
    </row>
    <row r="860">
      <c r="B860" s="3"/>
      <c r="C860" s="3"/>
      <c r="D860" s="3"/>
    </row>
    <row r="861">
      <c r="B861" s="3"/>
      <c r="C861" s="3"/>
      <c r="D861" s="3"/>
    </row>
    <row r="862">
      <c r="B862" s="3"/>
      <c r="C862" s="3"/>
      <c r="D862" s="3"/>
    </row>
    <row r="863">
      <c r="B863" s="3"/>
      <c r="C863" s="3"/>
      <c r="D863" s="3"/>
    </row>
    <row r="864">
      <c r="B864" s="3"/>
      <c r="C864" s="3"/>
      <c r="D864" s="3"/>
    </row>
    <row r="865">
      <c r="B865" s="3"/>
      <c r="C865" s="3"/>
      <c r="D865" s="3"/>
    </row>
    <row r="866">
      <c r="B866" s="3"/>
      <c r="C866" s="3"/>
      <c r="D866" s="3"/>
    </row>
    <row r="867">
      <c r="B867" s="3"/>
      <c r="C867" s="3"/>
      <c r="D867" s="3"/>
    </row>
    <row r="868">
      <c r="B868" s="3"/>
      <c r="C868" s="3"/>
      <c r="D868" s="3"/>
    </row>
    <row r="869">
      <c r="B869" s="3"/>
      <c r="C869" s="3"/>
      <c r="D869" s="3"/>
    </row>
    <row r="870">
      <c r="B870" s="3"/>
      <c r="C870" s="3"/>
      <c r="D870" s="3"/>
    </row>
    <row r="871">
      <c r="B871" s="3"/>
      <c r="C871" s="3"/>
      <c r="D871" s="3"/>
    </row>
    <row r="872">
      <c r="B872" s="3"/>
      <c r="C872" s="3"/>
      <c r="D872" s="3"/>
    </row>
    <row r="873">
      <c r="B873" s="3"/>
      <c r="C873" s="3"/>
      <c r="D873" s="3"/>
    </row>
    <row r="874">
      <c r="B874" s="3"/>
      <c r="C874" s="3"/>
      <c r="D874" s="3"/>
    </row>
    <row r="875">
      <c r="B875" s="3"/>
      <c r="C875" s="3"/>
      <c r="D875" s="3"/>
    </row>
    <row r="876">
      <c r="B876" s="3"/>
      <c r="C876" s="3"/>
      <c r="D876" s="3"/>
    </row>
    <row r="877">
      <c r="B877" s="3"/>
      <c r="C877" s="3"/>
      <c r="D877" s="3"/>
    </row>
    <row r="878">
      <c r="B878" s="3"/>
      <c r="C878" s="3"/>
      <c r="D878" s="3"/>
    </row>
    <row r="879">
      <c r="B879" s="3"/>
      <c r="C879" s="3"/>
      <c r="D879" s="3"/>
    </row>
    <row r="880">
      <c r="B880" s="3"/>
      <c r="C880" s="3"/>
      <c r="D880" s="3"/>
    </row>
    <row r="881">
      <c r="B881" s="3"/>
      <c r="C881" s="3"/>
      <c r="D881" s="3"/>
    </row>
    <row r="882">
      <c r="B882" s="3"/>
      <c r="C882" s="3"/>
      <c r="D882" s="3"/>
    </row>
    <row r="883">
      <c r="B883" s="3"/>
      <c r="C883" s="3"/>
      <c r="D883" s="3"/>
    </row>
    <row r="884">
      <c r="B884" s="3"/>
      <c r="C884" s="3"/>
      <c r="D884" s="3"/>
    </row>
    <row r="885">
      <c r="B885" s="3"/>
      <c r="C885" s="3"/>
      <c r="D885" s="3"/>
    </row>
    <row r="886">
      <c r="B886" s="3"/>
      <c r="C886" s="3"/>
      <c r="D886" s="3"/>
    </row>
    <row r="887">
      <c r="B887" s="3"/>
      <c r="C887" s="3"/>
      <c r="D887" s="3"/>
    </row>
    <row r="888">
      <c r="B888" s="3"/>
      <c r="C888" s="3"/>
      <c r="D888" s="3"/>
    </row>
    <row r="889">
      <c r="B889" s="3"/>
      <c r="C889" s="3"/>
      <c r="D889" s="3"/>
    </row>
    <row r="890">
      <c r="B890" s="3"/>
      <c r="C890" s="3"/>
      <c r="D890" s="3"/>
    </row>
    <row r="891">
      <c r="B891" s="3"/>
      <c r="C891" s="3"/>
      <c r="D891" s="3"/>
    </row>
    <row r="892">
      <c r="B892" s="3"/>
      <c r="C892" s="3"/>
      <c r="D892" s="3"/>
    </row>
    <row r="893">
      <c r="B893" s="3"/>
      <c r="C893" s="3"/>
      <c r="D893" s="3"/>
    </row>
    <row r="894">
      <c r="B894" s="3"/>
      <c r="C894" s="3"/>
      <c r="D894" s="3"/>
    </row>
    <row r="895">
      <c r="B895" s="3"/>
      <c r="C895" s="3"/>
      <c r="D895" s="3"/>
    </row>
    <row r="896">
      <c r="B896" s="3"/>
      <c r="C896" s="3"/>
      <c r="D896" s="3"/>
    </row>
    <row r="897">
      <c r="B897" s="3"/>
      <c r="C897" s="3"/>
      <c r="D897" s="3"/>
    </row>
    <row r="898">
      <c r="B898" s="3"/>
      <c r="C898" s="3"/>
      <c r="D898" s="3"/>
    </row>
    <row r="899">
      <c r="B899" s="3"/>
      <c r="C899" s="3"/>
      <c r="D899" s="3"/>
    </row>
    <row r="900">
      <c r="B900" s="3"/>
      <c r="C900" s="3"/>
      <c r="D900" s="3"/>
    </row>
    <row r="901">
      <c r="B901" s="3"/>
      <c r="C901" s="3"/>
      <c r="D901" s="3"/>
    </row>
    <row r="902">
      <c r="B902" s="3"/>
      <c r="C902" s="3"/>
      <c r="D902" s="3"/>
    </row>
    <row r="903">
      <c r="B903" s="3"/>
      <c r="C903" s="3"/>
      <c r="D903" s="3"/>
    </row>
    <row r="904">
      <c r="B904" s="3"/>
      <c r="C904" s="3"/>
      <c r="D904" s="3"/>
    </row>
    <row r="905">
      <c r="B905" s="3"/>
      <c r="C905" s="3"/>
      <c r="D905" s="3"/>
    </row>
    <row r="906">
      <c r="B906" s="3"/>
      <c r="C906" s="3"/>
      <c r="D906" s="3"/>
    </row>
    <row r="907">
      <c r="B907" s="3"/>
      <c r="C907" s="3"/>
      <c r="D907" s="3"/>
    </row>
    <row r="908">
      <c r="B908" s="3"/>
      <c r="C908" s="3"/>
      <c r="D908" s="3"/>
    </row>
    <row r="909">
      <c r="B909" s="3"/>
      <c r="C909" s="3"/>
      <c r="D909" s="3"/>
    </row>
    <row r="910">
      <c r="B910" s="3"/>
      <c r="C910" s="3"/>
      <c r="D910" s="3"/>
    </row>
    <row r="911">
      <c r="B911" s="3"/>
      <c r="C911" s="3"/>
      <c r="D911" s="3"/>
    </row>
    <row r="912">
      <c r="B912" s="3"/>
      <c r="C912" s="3"/>
      <c r="D912" s="3"/>
    </row>
    <row r="913">
      <c r="B913" s="3"/>
      <c r="C913" s="3"/>
      <c r="D913" s="3"/>
    </row>
    <row r="914">
      <c r="B914" s="3"/>
      <c r="C914" s="3"/>
      <c r="D914" s="3"/>
    </row>
    <row r="915">
      <c r="B915" s="3"/>
      <c r="C915" s="3"/>
      <c r="D915" s="3"/>
    </row>
    <row r="916">
      <c r="B916" s="3"/>
      <c r="C916" s="3"/>
      <c r="D916" s="3"/>
    </row>
    <row r="917">
      <c r="B917" s="3"/>
      <c r="C917" s="3"/>
      <c r="D917" s="3"/>
    </row>
    <row r="918">
      <c r="B918" s="3"/>
      <c r="C918" s="3"/>
      <c r="D918" s="3"/>
    </row>
    <row r="919">
      <c r="B919" s="3"/>
      <c r="C919" s="3"/>
      <c r="D919" s="3"/>
    </row>
    <row r="920">
      <c r="B920" s="3"/>
      <c r="C920" s="3"/>
      <c r="D920" s="3"/>
    </row>
    <row r="921">
      <c r="B921" s="3"/>
      <c r="C921" s="3"/>
      <c r="D921" s="3"/>
    </row>
    <row r="922">
      <c r="B922" s="3"/>
      <c r="C922" s="3"/>
      <c r="D922" s="3"/>
    </row>
    <row r="923">
      <c r="B923" s="3"/>
      <c r="C923" s="3"/>
      <c r="D923" s="3"/>
    </row>
    <row r="924">
      <c r="B924" s="3"/>
      <c r="C924" s="3"/>
      <c r="D924" s="3"/>
    </row>
    <row r="925">
      <c r="B925" s="3"/>
      <c r="C925" s="3"/>
      <c r="D925" s="3"/>
    </row>
    <row r="926">
      <c r="B926" s="3"/>
      <c r="C926" s="3"/>
      <c r="D926" s="3"/>
    </row>
    <row r="927">
      <c r="B927" s="3"/>
      <c r="C927" s="3"/>
      <c r="D927" s="3"/>
    </row>
    <row r="928">
      <c r="B928" s="3"/>
      <c r="C928" s="3"/>
      <c r="D928" s="3"/>
    </row>
    <row r="929">
      <c r="B929" s="3"/>
      <c r="C929" s="3"/>
      <c r="D929" s="3"/>
    </row>
    <row r="930">
      <c r="B930" s="3"/>
      <c r="C930" s="3"/>
      <c r="D930" s="3"/>
    </row>
    <row r="931">
      <c r="B931" s="3"/>
      <c r="C931" s="3"/>
      <c r="D931" s="3"/>
    </row>
    <row r="932">
      <c r="B932" s="3"/>
      <c r="C932" s="3"/>
      <c r="D932" s="3"/>
    </row>
    <row r="933">
      <c r="B933" s="3"/>
      <c r="C933" s="3"/>
      <c r="D933" s="3"/>
    </row>
    <row r="934">
      <c r="B934" s="3"/>
      <c r="C934" s="3"/>
      <c r="D934" s="3"/>
    </row>
    <row r="935">
      <c r="B935" s="3"/>
      <c r="C935" s="3"/>
      <c r="D935" s="3"/>
    </row>
    <row r="936">
      <c r="B936" s="3"/>
      <c r="C936" s="3"/>
      <c r="D936" s="3"/>
    </row>
    <row r="937">
      <c r="B937" s="3"/>
      <c r="C937" s="3"/>
      <c r="D937" s="3"/>
    </row>
    <row r="938">
      <c r="B938" s="3"/>
      <c r="C938" s="3"/>
      <c r="D938" s="3"/>
    </row>
    <row r="939">
      <c r="B939" s="3"/>
      <c r="C939" s="3"/>
      <c r="D939" s="3"/>
    </row>
    <row r="940">
      <c r="B940" s="3"/>
      <c r="C940" s="3"/>
      <c r="D940" s="3"/>
    </row>
    <row r="941">
      <c r="B941" s="3"/>
      <c r="C941" s="3"/>
      <c r="D941" s="3"/>
    </row>
    <row r="942">
      <c r="B942" s="3"/>
      <c r="C942" s="3"/>
      <c r="D942" s="3"/>
    </row>
    <row r="943">
      <c r="B943" s="3"/>
      <c r="C943" s="3"/>
      <c r="D943" s="3"/>
    </row>
    <row r="944">
      <c r="B944" s="3"/>
      <c r="C944" s="3"/>
      <c r="D944" s="3"/>
    </row>
    <row r="945">
      <c r="B945" s="3"/>
      <c r="C945" s="3"/>
      <c r="D945" s="3"/>
    </row>
    <row r="946">
      <c r="B946" s="3"/>
      <c r="C946" s="3"/>
      <c r="D946" s="3"/>
    </row>
    <row r="947">
      <c r="B947" s="3"/>
      <c r="C947" s="3"/>
      <c r="D947" s="3"/>
    </row>
    <row r="948">
      <c r="B948" s="3"/>
      <c r="C948" s="3"/>
      <c r="D948" s="3"/>
    </row>
    <row r="949">
      <c r="B949" s="3"/>
      <c r="C949" s="3"/>
      <c r="D949" s="3"/>
    </row>
    <row r="950">
      <c r="B950" s="3"/>
      <c r="C950" s="3"/>
      <c r="D950" s="3"/>
    </row>
    <row r="951">
      <c r="B951" s="3"/>
      <c r="C951" s="3"/>
      <c r="D951" s="3"/>
    </row>
    <row r="952">
      <c r="B952" s="3"/>
      <c r="C952" s="3"/>
      <c r="D952" s="3"/>
    </row>
    <row r="953">
      <c r="B953" s="3"/>
      <c r="C953" s="3"/>
      <c r="D953" s="3"/>
    </row>
    <row r="954">
      <c r="B954" s="3"/>
      <c r="C954" s="3"/>
      <c r="D954" s="3"/>
    </row>
    <row r="955">
      <c r="B955" s="3"/>
      <c r="C955" s="3"/>
      <c r="D955" s="3"/>
    </row>
    <row r="956">
      <c r="B956" s="3"/>
      <c r="C956" s="3"/>
      <c r="D956" s="3"/>
    </row>
    <row r="957">
      <c r="B957" s="3"/>
      <c r="C957" s="3"/>
      <c r="D957" s="3"/>
    </row>
    <row r="958">
      <c r="B958" s="3"/>
      <c r="C958" s="3"/>
      <c r="D958" s="3"/>
    </row>
    <row r="959">
      <c r="B959" s="3"/>
      <c r="C959" s="3"/>
      <c r="D959" s="3"/>
    </row>
    <row r="960">
      <c r="B960" s="3"/>
      <c r="C960" s="3"/>
      <c r="D960" s="3"/>
    </row>
    <row r="961">
      <c r="B961" s="3"/>
      <c r="C961" s="3"/>
      <c r="D961" s="3"/>
    </row>
    <row r="962">
      <c r="B962" s="3"/>
      <c r="C962" s="3"/>
      <c r="D962" s="3"/>
    </row>
    <row r="963">
      <c r="B963" s="3"/>
      <c r="C963" s="3"/>
      <c r="D963" s="3"/>
    </row>
    <row r="964">
      <c r="B964" s="3"/>
      <c r="C964" s="3"/>
      <c r="D964" s="3"/>
    </row>
    <row r="965">
      <c r="B965" s="3"/>
      <c r="C965" s="3"/>
      <c r="D965" s="3"/>
    </row>
    <row r="966">
      <c r="B966" s="3"/>
      <c r="C966" s="3"/>
      <c r="D966" s="3"/>
    </row>
    <row r="967">
      <c r="B967" s="3"/>
      <c r="C967" s="3"/>
      <c r="D967" s="3"/>
    </row>
    <row r="968">
      <c r="B968" s="3"/>
      <c r="C968" s="3"/>
      <c r="D968" s="3"/>
    </row>
    <row r="969">
      <c r="B969" s="3"/>
      <c r="C969" s="3"/>
      <c r="D969" s="3"/>
    </row>
    <row r="970">
      <c r="B970" s="3"/>
      <c r="C970" s="3"/>
      <c r="D970" s="3"/>
    </row>
    <row r="971">
      <c r="B971" s="3"/>
      <c r="C971" s="3"/>
      <c r="D971" s="3"/>
    </row>
    <row r="972">
      <c r="B972" s="3"/>
      <c r="C972" s="3"/>
      <c r="D972" s="3"/>
    </row>
    <row r="973">
      <c r="B973" s="3"/>
      <c r="C973" s="3"/>
      <c r="D973" s="3"/>
    </row>
    <row r="974">
      <c r="B974" s="3"/>
      <c r="C974" s="3"/>
      <c r="D974" s="3"/>
    </row>
    <row r="975">
      <c r="B975" s="3"/>
      <c r="C975" s="3"/>
      <c r="D975" s="3"/>
    </row>
    <row r="976">
      <c r="B976" s="3"/>
      <c r="C976" s="3"/>
      <c r="D976" s="3"/>
    </row>
    <row r="977">
      <c r="B977" s="3"/>
      <c r="C977" s="3"/>
      <c r="D977" s="3"/>
    </row>
    <row r="978">
      <c r="B978" s="3"/>
      <c r="C978" s="3"/>
      <c r="D978" s="3"/>
    </row>
    <row r="979">
      <c r="B979" s="3"/>
      <c r="C979" s="3"/>
      <c r="D979" s="3"/>
    </row>
    <row r="980">
      <c r="B980" s="3"/>
      <c r="C980" s="3"/>
      <c r="D980" s="3"/>
    </row>
    <row r="981">
      <c r="B981" s="3"/>
      <c r="C981" s="3"/>
      <c r="D981" s="3"/>
    </row>
    <row r="982">
      <c r="B982" s="3"/>
      <c r="C982" s="3"/>
      <c r="D982" s="3"/>
    </row>
    <row r="983">
      <c r="B983" s="3"/>
      <c r="C983" s="3"/>
      <c r="D983" s="3"/>
    </row>
    <row r="984">
      <c r="B984" s="3"/>
      <c r="C984" s="3"/>
      <c r="D984" s="3"/>
    </row>
    <row r="985">
      <c r="B985" s="3"/>
      <c r="C985" s="3"/>
      <c r="D985" s="3"/>
    </row>
    <row r="986">
      <c r="B986" s="3"/>
      <c r="C986" s="3"/>
      <c r="D986" s="3"/>
    </row>
    <row r="987">
      <c r="B987" s="3"/>
      <c r="C987" s="3"/>
      <c r="D987" s="3"/>
    </row>
    <row r="988">
      <c r="B988" s="3"/>
      <c r="C988" s="3"/>
      <c r="D988" s="3"/>
    </row>
    <row r="989">
      <c r="B989" s="3"/>
      <c r="C989" s="3"/>
      <c r="D989" s="3"/>
    </row>
    <row r="990">
      <c r="B990" s="3"/>
      <c r="C990" s="3"/>
      <c r="D990" s="3"/>
    </row>
    <row r="991">
      <c r="B991" s="3"/>
      <c r="C991" s="3"/>
      <c r="D991" s="3"/>
    </row>
    <row r="992">
      <c r="B992" s="3"/>
      <c r="C992" s="3"/>
      <c r="D992" s="3"/>
    </row>
    <row r="993">
      <c r="B993" s="3"/>
      <c r="C993" s="3"/>
      <c r="D993" s="3"/>
    </row>
    <row r="994">
      <c r="B994" s="3"/>
      <c r="C994" s="3"/>
      <c r="D994" s="3"/>
    </row>
    <row r="995">
      <c r="B995" s="3"/>
      <c r="C995" s="3"/>
      <c r="D995" s="3"/>
    </row>
    <row r="996">
      <c r="B996" s="3"/>
      <c r="C996" s="3"/>
      <c r="D996" s="3"/>
    </row>
    <row r="997">
      <c r="B997" s="3"/>
      <c r="C997" s="3"/>
      <c r="D997" s="3"/>
    </row>
    <row r="998">
      <c r="B998" s="3"/>
      <c r="C998" s="3"/>
      <c r="D998" s="3"/>
    </row>
    <row r="999">
      <c r="B999" s="3"/>
      <c r="C999" s="3"/>
      <c r="D999" s="3"/>
    </row>
    <row r="1000">
      <c r="B1000" s="3"/>
      <c r="C1000" s="3"/>
      <c r="D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11" width="25.63"/>
    <col customWidth="1" min="12" max="12" width="30.5"/>
    <col customWidth="1" min="13" max="14" width="25.63"/>
    <col customWidth="1" min="15" max="15" width="32.88"/>
    <col customWidth="1" min="16" max="30" width="25.63"/>
  </cols>
  <sheetData>
    <row r="1">
      <c r="A1" s="4" t="s">
        <v>26</v>
      </c>
      <c r="B1" s="4" t="s">
        <v>27</v>
      </c>
      <c r="C1" s="4" t="s">
        <v>28</v>
      </c>
      <c r="D1" s="4" t="s">
        <v>29</v>
      </c>
      <c r="E1" s="4" t="s">
        <v>30</v>
      </c>
      <c r="F1" s="4" t="s">
        <v>31</v>
      </c>
      <c r="G1" s="4" t="s">
        <v>32</v>
      </c>
      <c r="H1" s="4" t="s">
        <v>33</v>
      </c>
      <c r="I1" s="4" t="s">
        <v>34</v>
      </c>
      <c r="J1" s="4" t="s">
        <v>35</v>
      </c>
      <c r="K1" s="4" t="s">
        <v>36</v>
      </c>
      <c r="L1" s="4" t="s">
        <v>37</v>
      </c>
      <c r="M1" s="4" t="s">
        <v>38</v>
      </c>
      <c r="N1" s="4" t="s">
        <v>39</v>
      </c>
      <c r="O1" s="4" t="s">
        <v>40</v>
      </c>
      <c r="P1" s="5"/>
      <c r="Q1" s="5"/>
      <c r="R1" s="5"/>
      <c r="S1" s="5"/>
      <c r="T1" s="5"/>
      <c r="U1" s="5"/>
      <c r="V1" s="5"/>
      <c r="W1" s="5"/>
      <c r="X1" s="5"/>
      <c r="Y1" s="5"/>
      <c r="Z1" s="5"/>
      <c r="AA1" s="5"/>
      <c r="AB1" s="5"/>
      <c r="AC1" s="5"/>
      <c r="AD1" s="5"/>
    </row>
    <row r="2">
      <c r="A2" s="1" t="s">
        <v>41</v>
      </c>
      <c r="B2" s="1" t="s">
        <v>42</v>
      </c>
      <c r="C2" s="1" t="s">
        <v>43</v>
      </c>
      <c r="D2" s="1">
        <v>2020.0</v>
      </c>
      <c r="E2" s="6">
        <f t="shared" ref="E2:E19" si="1">SUM(F2,G2)</f>
        <v>4944653293000</v>
      </c>
      <c r="F2" s="6">
        <v>4.130257616E12</v>
      </c>
      <c r="G2" s="6">
        <v>8.14395677E11</v>
      </c>
      <c r="H2" s="6">
        <v>2.3809507E11</v>
      </c>
      <c r="I2" s="6">
        <v>2.0143994E11</v>
      </c>
      <c r="J2" s="6">
        <v>2.53668147E11</v>
      </c>
      <c r="K2" s="6">
        <v>5.3179802E10</v>
      </c>
      <c r="L2" s="1">
        <v>7.11</v>
      </c>
      <c r="M2" s="1">
        <v>3.0</v>
      </c>
      <c r="N2" s="6">
        <v>1.9392181E11</v>
      </c>
      <c r="O2" s="1" t="s">
        <v>44</v>
      </c>
    </row>
    <row r="3">
      <c r="A3" s="1" t="s">
        <v>41</v>
      </c>
      <c r="B3" s="1" t="s">
        <v>42</v>
      </c>
      <c r="C3" s="1" t="s">
        <v>43</v>
      </c>
      <c r="D3" s="1">
        <v>2021.0</v>
      </c>
      <c r="E3" s="6">
        <f t="shared" si="1"/>
        <v>5436034997000</v>
      </c>
      <c r="F3" s="6">
        <v>4.552807905E12</v>
      </c>
      <c r="G3" s="6">
        <v>8.83227092E11</v>
      </c>
      <c r="H3" s="6">
        <v>2.21497676E11</v>
      </c>
      <c r="I3" s="6">
        <v>1.74839487E11</v>
      </c>
      <c r="J3" s="6">
        <v>2.20612622E11</v>
      </c>
      <c r="K3" s="6">
        <v>7.4123774E10</v>
      </c>
      <c r="L3" s="1">
        <v>6.14</v>
      </c>
      <c r="M3" s="1">
        <v>3.0</v>
      </c>
      <c r="N3" s="6">
        <v>1.98358025E11</v>
      </c>
      <c r="O3" s="1" t="s">
        <v>44</v>
      </c>
    </row>
    <row r="4">
      <c r="A4" s="1" t="s">
        <v>41</v>
      </c>
      <c r="B4" s="1" t="s">
        <v>42</v>
      </c>
      <c r="C4" s="1" t="s">
        <v>43</v>
      </c>
      <c r="D4" s="1">
        <v>2022.0</v>
      </c>
      <c r="E4" s="6">
        <f t="shared" si="1"/>
        <v>6446456429000</v>
      </c>
      <c r="F4" s="6">
        <v>5.515307227E12</v>
      </c>
      <c r="G4" s="6">
        <v>9.31149202E11</v>
      </c>
      <c r="H4" s="6">
        <v>2.14154094E11</v>
      </c>
      <c r="I4" s="6">
        <v>1.69173437E11</v>
      </c>
      <c r="J4" s="6">
        <v>2.59303127E11</v>
      </c>
      <c r="K4" s="6">
        <v>9.0612848E10</v>
      </c>
      <c r="L4" s="1">
        <v>5.95</v>
      </c>
      <c r="M4" s="1">
        <v>3.0</v>
      </c>
      <c r="N4" s="6">
        <v>2.14858054E11</v>
      </c>
      <c r="O4" s="1" t="s">
        <v>45</v>
      </c>
    </row>
    <row r="5">
      <c r="A5" s="1" t="s">
        <v>41</v>
      </c>
      <c r="B5" s="1" t="s">
        <v>42</v>
      </c>
      <c r="C5" s="1" t="s">
        <v>43</v>
      </c>
      <c r="D5" s="1">
        <v>2023.0</v>
      </c>
      <c r="E5" s="6">
        <f t="shared" si="1"/>
        <v>9691254678000</v>
      </c>
      <c r="F5" s="6">
        <v>8.214126607E12</v>
      </c>
      <c r="G5" s="6">
        <v>1.477128071E12</v>
      </c>
      <c r="H5" s="6">
        <v>6.09308442E11</v>
      </c>
      <c r="I5" s="6">
        <v>5.39654674E11</v>
      </c>
      <c r="J5" s="6">
        <v>4.36696585E11</v>
      </c>
      <c r="K5" s="6">
        <v>1.2416226E11</v>
      </c>
      <c r="L5" s="1">
        <v>19.07</v>
      </c>
      <c r="M5" s="1">
        <v>3.3</v>
      </c>
      <c r="N5" s="6">
        <v>5.80033938E11</v>
      </c>
      <c r="O5" s="1" t="s">
        <v>46</v>
      </c>
    </row>
    <row r="6">
      <c r="A6" s="1" t="s">
        <v>41</v>
      </c>
      <c r="B6" s="1" t="s">
        <v>42</v>
      </c>
      <c r="C6" s="1" t="s">
        <v>43</v>
      </c>
      <c r="D6" s="1">
        <v>2024.0</v>
      </c>
      <c r="E6" s="6">
        <f t="shared" si="1"/>
        <v>14795706831000</v>
      </c>
      <c r="F6" s="6">
        <v>1.2083689217E13</v>
      </c>
      <c r="G6" s="6">
        <v>2.712017614E12</v>
      </c>
      <c r="H6" s="6">
        <v>1.266246073E12</v>
      </c>
      <c r="I6" s="6">
        <v>1.017802849E12</v>
      </c>
      <c r="J6" s="6">
        <v>1.058586173E12</v>
      </c>
      <c r="K6" s="6">
        <v>2.21231208E11</v>
      </c>
      <c r="L6" s="1">
        <v>35.44</v>
      </c>
      <c r="M6" s="1">
        <v>3.7</v>
      </c>
      <c r="N6" s="6">
        <v>1.319841616E12</v>
      </c>
      <c r="O6" s="1" t="s">
        <v>47</v>
      </c>
    </row>
    <row r="7">
      <c r="A7" s="1" t="s">
        <v>41</v>
      </c>
      <c r="B7" s="1" t="s">
        <v>42</v>
      </c>
      <c r="C7" s="1" t="s">
        <v>43</v>
      </c>
      <c r="D7" s="1">
        <v>2025.0</v>
      </c>
      <c r="E7" s="6">
        <f t="shared" si="1"/>
        <v>17761152255000</v>
      </c>
      <c r="F7" s="6">
        <v>1.4349772297E13</v>
      </c>
      <c r="G7" s="6">
        <v>3.411379958E12</v>
      </c>
      <c r="H7" s="6">
        <v>1.231081326E12</v>
      </c>
      <c r="I7" s="6">
        <v>8.65746687E11</v>
      </c>
      <c r="J7" s="6">
        <v>1.26058684E12</v>
      </c>
      <c r="K7" s="6">
        <v>2.78505492E11</v>
      </c>
      <c r="L7" s="1">
        <v>25.43</v>
      </c>
      <c r="M7" s="1">
        <v>8.03</v>
      </c>
      <c r="N7" s="6">
        <v>1.718423706E12</v>
      </c>
      <c r="O7" s="1" t="s">
        <v>48</v>
      </c>
    </row>
    <row r="8">
      <c r="A8" s="1" t="s">
        <v>49</v>
      </c>
      <c r="B8" s="1" t="s">
        <v>50</v>
      </c>
      <c r="C8" s="1" t="s">
        <v>43</v>
      </c>
      <c r="D8" s="1">
        <v>2020.0</v>
      </c>
      <c r="E8" s="6">
        <f t="shared" si="1"/>
        <v>8481273000000</v>
      </c>
      <c r="F8" s="6">
        <v>7.3638E12</v>
      </c>
      <c r="G8" s="6">
        <v>1.117473E12</v>
      </c>
      <c r="H8" s="6">
        <v>2.55861E11</v>
      </c>
      <c r="I8" s="6">
        <v>2.30565E11</v>
      </c>
      <c r="J8" s="6">
        <v>2.99682E11</v>
      </c>
      <c r="K8" s="6">
        <v>7.9332E10</v>
      </c>
      <c r="L8" s="1">
        <v>7.34</v>
      </c>
      <c r="M8" s="1">
        <v>2.7</v>
      </c>
      <c r="N8" s="6">
        <v>5.21293E11</v>
      </c>
      <c r="O8" s="1" t="s">
        <v>51</v>
      </c>
    </row>
    <row r="9">
      <c r="A9" s="1" t="s">
        <v>49</v>
      </c>
      <c r="B9" s="1" t="s">
        <v>50</v>
      </c>
      <c r="C9" s="1" t="s">
        <v>43</v>
      </c>
      <c r="D9" s="1">
        <v>2021.0</v>
      </c>
      <c r="E9" s="6">
        <f t="shared" si="1"/>
        <v>9447843000000</v>
      </c>
      <c r="F9" s="6">
        <v>8.168181E12</v>
      </c>
      <c r="G9" s="6">
        <v>1.279662E12</v>
      </c>
      <c r="H9" s="6">
        <v>2.80374E11</v>
      </c>
      <c r="I9" s="6">
        <v>2.44558E11</v>
      </c>
      <c r="J9" s="6">
        <v>3.20804E11</v>
      </c>
      <c r="K9" s="6">
        <v>1.03958E11</v>
      </c>
      <c r="L9" s="1">
        <v>7.78</v>
      </c>
      <c r="M9" s="1">
        <v>2.8</v>
      </c>
      <c r="N9" s="6">
        <v>6.07203E11</v>
      </c>
      <c r="O9" s="1" t="s">
        <v>51</v>
      </c>
    </row>
    <row r="10">
      <c r="A10" s="1" t="s">
        <v>49</v>
      </c>
      <c r="B10" s="1" t="s">
        <v>50</v>
      </c>
      <c r="C10" s="1" t="s">
        <v>43</v>
      </c>
      <c r="D10" s="1">
        <v>2022.0</v>
      </c>
      <c r="E10" s="6">
        <f t="shared" si="1"/>
        <v>12285629000000</v>
      </c>
      <c r="F10" s="6">
        <v>1.0906689E13</v>
      </c>
      <c r="G10" s="6">
        <v>1.37894E12</v>
      </c>
      <c r="H10" s="6">
        <v>2.8465E11</v>
      </c>
      <c r="I10" s="6">
        <v>2.23911E11</v>
      </c>
      <c r="J10" s="6">
        <v>3.66627E11</v>
      </c>
      <c r="K10" s="6">
        <v>1.32795E11</v>
      </c>
      <c r="L10" s="1">
        <v>7.14</v>
      </c>
      <c r="M10" s="1">
        <v>2.9</v>
      </c>
      <c r="N10" s="6">
        <v>6.25005E11</v>
      </c>
      <c r="O10" s="1" t="s">
        <v>52</v>
      </c>
    </row>
    <row r="11">
      <c r="A11" s="1" t="s">
        <v>49</v>
      </c>
      <c r="B11" s="1" t="s">
        <v>50</v>
      </c>
      <c r="C11" s="1" t="s">
        <v>43</v>
      </c>
      <c r="D11" s="1">
        <v>2023.0</v>
      </c>
      <c r="E11" s="6">
        <f t="shared" si="1"/>
        <v>20368455000000</v>
      </c>
      <c r="F11" s="6">
        <v>1.8045075E13</v>
      </c>
      <c r="G11" s="6">
        <v>2.32338E12</v>
      </c>
      <c r="H11" s="6">
        <v>7.95962E11</v>
      </c>
      <c r="I11" s="6">
        <v>6.76909E11</v>
      </c>
      <c r="J11" s="6">
        <v>7.36182E11</v>
      </c>
      <c r="K11" s="6">
        <v>1.09307E11</v>
      </c>
      <c r="L11" s="1">
        <v>21.55</v>
      </c>
      <c r="M11" s="1">
        <v>3.5</v>
      </c>
      <c r="N11" s="6">
        <v>1.17939E12</v>
      </c>
      <c r="O11" s="1" t="s">
        <v>53</v>
      </c>
    </row>
    <row r="12">
      <c r="A12" s="1" t="s">
        <v>49</v>
      </c>
      <c r="B12" s="1" t="s">
        <v>50</v>
      </c>
      <c r="C12" s="1" t="s">
        <v>43</v>
      </c>
      <c r="D12" s="1">
        <v>2024.0</v>
      </c>
      <c r="E12" s="6">
        <f t="shared" si="1"/>
        <v>29957525000000</v>
      </c>
      <c r="F12" s="6">
        <v>2.5928252E13</v>
      </c>
      <c r="G12" s="6">
        <v>4.029273E12</v>
      </c>
      <c r="H12" s="6">
        <v>1.326851E12</v>
      </c>
      <c r="I12" s="6">
        <v>1.032895E12</v>
      </c>
      <c r="J12" s="6">
        <v>1.728903E12</v>
      </c>
      <c r="K12" s="6">
        <v>2.06867E11</v>
      </c>
      <c r="L12" s="1">
        <v>32.87</v>
      </c>
      <c r="M12" s="1">
        <v>4.0</v>
      </c>
      <c r="N12" s="6">
        <v>2.015513E12</v>
      </c>
      <c r="O12" s="1" t="s">
        <v>54</v>
      </c>
    </row>
    <row r="13">
      <c r="A13" s="1" t="s">
        <v>49</v>
      </c>
      <c r="B13" s="1" t="s">
        <v>50</v>
      </c>
      <c r="C13" s="1" t="s">
        <v>43</v>
      </c>
      <c r="D13" s="1">
        <v>2025.0</v>
      </c>
      <c r="E13" s="6">
        <f t="shared" si="1"/>
        <v>31458051000000</v>
      </c>
      <c r="F13" s="6">
        <v>2.6533845E13</v>
      </c>
      <c r="G13" s="6">
        <v>4.924206E12</v>
      </c>
      <c r="H13" s="6">
        <v>1.26337E12</v>
      </c>
      <c r="I13" s="6">
        <v>1.040546E12</v>
      </c>
      <c r="J13" s="6">
        <v>2.639532E12</v>
      </c>
      <c r="K13" s="6">
        <v>2.918E11</v>
      </c>
      <c r="L13" s="1">
        <v>25.32</v>
      </c>
      <c r="M13" s="1">
        <v>8.75</v>
      </c>
      <c r="N13" s="6">
        <v>2.808194E12</v>
      </c>
      <c r="O13" s="1" t="s">
        <v>55</v>
      </c>
    </row>
    <row r="14">
      <c r="A14" s="1" t="s">
        <v>56</v>
      </c>
      <c r="B14" s="1" t="s">
        <v>57</v>
      </c>
      <c r="C14" s="1" t="s">
        <v>58</v>
      </c>
      <c r="D14" s="1">
        <v>2020.0</v>
      </c>
      <c r="E14" s="6">
        <f t="shared" si="1"/>
        <v>1963543000000</v>
      </c>
      <c r="F14" s="6">
        <v>1.785157E12</v>
      </c>
      <c r="G14" s="6">
        <v>1.78386E11</v>
      </c>
      <c r="H14" s="6">
        <v>2.98874E11</v>
      </c>
      <c r="I14" s="6">
        <v>2.05214E11</v>
      </c>
      <c r="J14" s="7" t="s">
        <v>59</v>
      </c>
      <c r="K14" s="7" t="s">
        <v>59</v>
      </c>
      <c r="L14" s="1">
        <v>10.8</v>
      </c>
      <c r="M14" s="1">
        <v>9.4</v>
      </c>
      <c r="N14" s="6">
        <v>1.60524E11</v>
      </c>
      <c r="O14" s="1" t="s">
        <v>60</v>
      </c>
    </row>
    <row r="15">
      <c r="A15" s="1" t="s">
        <v>56</v>
      </c>
      <c r="B15" s="1" t="s">
        <v>57</v>
      </c>
      <c r="C15" s="1" t="s">
        <v>58</v>
      </c>
      <c r="D15" s="1">
        <v>2021.0</v>
      </c>
      <c r="E15" s="6">
        <f t="shared" si="1"/>
        <v>2259555000000</v>
      </c>
      <c r="F15" s="6">
        <v>1.994574E12</v>
      </c>
      <c r="G15" s="6">
        <v>2.64981E11</v>
      </c>
      <c r="H15" s="6">
        <v>4.36687E11</v>
      </c>
      <c r="I15" s="6">
        <v>2.98654E11</v>
      </c>
      <c r="J15" s="7" t="s">
        <v>59</v>
      </c>
      <c r="K15" s="7" t="s">
        <v>59</v>
      </c>
      <c r="L15" s="1">
        <v>14.67</v>
      </c>
      <c r="M15" s="1">
        <v>13.1</v>
      </c>
      <c r="N15" s="6">
        <v>2.46473E11</v>
      </c>
      <c r="O15" s="1" t="s">
        <v>60</v>
      </c>
    </row>
    <row r="16">
      <c r="A16" s="1" t="s">
        <v>56</v>
      </c>
      <c r="B16" s="1" t="s">
        <v>57</v>
      </c>
      <c r="C16" s="1" t="s">
        <v>58</v>
      </c>
      <c r="D16" s="1">
        <v>2022.0</v>
      </c>
      <c r="E16" s="6">
        <f t="shared" si="1"/>
        <v>2539369000000</v>
      </c>
      <c r="F16" s="6">
        <v>2.276827E12</v>
      </c>
      <c r="G16" s="6">
        <v>2.62542E11</v>
      </c>
      <c r="H16" s="6">
        <v>5.18823E11</v>
      </c>
      <c r="I16" s="6">
        <v>3.48727E11</v>
      </c>
      <c r="J16" s="7" t="s">
        <v>59</v>
      </c>
      <c r="K16" s="7" t="s">
        <v>59</v>
      </c>
      <c r="L16" s="1">
        <v>16.63</v>
      </c>
      <c r="M16" s="1">
        <v>15.6</v>
      </c>
      <c r="N16" s="6">
        <v>2.46679E11</v>
      </c>
      <c r="O16" s="1" t="s">
        <v>61</v>
      </c>
    </row>
    <row r="17">
      <c r="A17" s="1" t="s">
        <v>56</v>
      </c>
      <c r="B17" s="1" t="s">
        <v>57</v>
      </c>
      <c r="C17" s="1" t="s">
        <v>58</v>
      </c>
      <c r="D17" s="1">
        <v>2023.0</v>
      </c>
      <c r="E17" s="6">
        <f t="shared" si="1"/>
        <v>3188827000000</v>
      </c>
      <c r="F17" s="6">
        <v>3.229671E12</v>
      </c>
      <c r="G17" s="6">
        <v>-4.0844E10</v>
      </c>
      <c r="H17" s="6">
        <v>-1.77885E11</v>
      </c>
      <c r="I17" s="6">
        <v>-1.3702E11</v>
      </c>
      <c r="J17" s="7" t="s">
        <v>59</v>
      </c>
      <c r="K17" s="7" t="s">
        <v>59</v>
      </c>
      <c r="L17" s="1">
        <v>-6.53</v>
      </c>
      <c r="M17" s="1">
        <v>5.6</v>
      </c>
      <c r="N17" s="6">
        <v>-2.08018E11</v>
      </c>
      <c r="O17" s="1" t="s">
        <v>62</v>
      </c>
    </row>
    <row r="18">
      <c r="A18" s="1" t="s">
        <v>56</v>
      </c>
      <c r="B18" s="1" t="s">
        <v>57</v>
      </c>
      <c r="C18" s="1" t="s">
        <v>58</v>
      </c>
      <c r="D18" s="1">
        <v>2024.0</v>
      </c>
      <c r="E18" s="6">
        <f t="shared" si="1"/>
        <v>4196991000000</v>
      </c>
      <c r="F18" s="6">
        <v>4.654998E12</v>
      </c>
      <c r="G18" s="6">
        <v>-4.58007E11</v>
      </c>
      <c r="H18" s="6">
        <v>-5.50325E11</v>
      </c>
      <c r="I18" s="6">
        <v>-4.00435E11</v>
      </c>
      <c r="J18" s="7" t="s">
        <v>59</v>
      </c>
      <c r="K18" s="7" t="s">
        <v>59</v>
      </c>
      <c r="L18" s="1">
        <v>-19.05</v>
      </c>
      <c r="M18" s="1">
        <v>0.0</v>
      </c>
      <c r="N18" s="6">
        <v>-6.07466E11</v>
      </c>
      <c r="O18" s="1" t="s">
        <v>63</v>
      </c>
    </row>
    <row r="19">
      <c r="A19" s="1" t="s">
        <v>56</v>
      </c>
      <c r="B19" s="1" t="s">
        <v>57</v>
      </c>
      <c r="C19" s="1" t="s">
        <v>58</v>
      </c>
      <c r="D19" s="1">
        <v>2025.0</v>
      </c>
      <c r="E19" s="6">
        <f t="shared" si="1"/>
        <v>5403489000000</v>
      </c>
      <c r="F19" s="6">
        <v>4.854777E12</v>
      </c>
      <c r="G19" s="6">
        <v>5.48712E11</v>
      </c>
      <c r="H19" s="6">
        <v>1.696029E12</v>
      </c>
      <c r="I19" s="6">
        <v>1.112846E12</v>
      </c>
      <c r="J19" s="7" t="s">
        <v>59</v>
      </c>
      <c r="K19" s="7" t="s">
        <v>59</v>
      </c>
      <c r="L19" s="1">
        <v>53.07</v>
      </c>
      <c r="M19" s="1">
        <v>20.0</v>
      </c>
      <c r="N19" s="6">
        <v>4.04402E11</v>
      </c>
      <c r="O19" s="1" t="s">
        <v>64</v>
      </c>
    </row>
    <row r="20">
      <c r="A20" s="1" t="s">
        <v>65</v>
      </c>
      <c r="B20" s="1" t="s">
        <v>66</v>
      </c>
      <c r="C20" s="1" t="s">
        <v>67</v>
      </c>
      <c r="D20" s="1">
        <v>2020.0</v>
      </c>
      <c r="E20" s="7" t="s">
        <v>59</v>
      </c>
      <c r="F20" s="7" t="s">
        <v>59</v>
      </c>
      <c r="G20" s="7" t="s">
        <v>59</v>
      </c>
      <c r="H20" s="7" t="s">
        <v>59</v>
      </c>
      <c r="I20" s="7" t="s">
        <v>59</v>
      </c>
      <c r="J20" s="7" t="s">
        <v>59</v>
      </c>
      <c r="K20" s="7" t="s">
        <v>59</v>
      </c>
      <c r="L20" s="7" t="s">
        <v>59</v>
      </c>
      <c r="M20" s="7" t="s">
        <v>59</v>
      </c>
      <c r="N20" s="7" t="s">
        <v>59</v>
      </c>
      <c r="O20" s="1" t="s">
        <v>68</v>
      </c>
    </row>
    <row r="21">
      <c r="A21" s="1" t="s">
        <v>65</v>
      </c>
      <c r="B21" s="1" t="s">
        <v>66</v>
      </c>
      <c r="C21" s="1" t="s">
        <v>67</v>
      </c>
      <c r="D21" s="1">
        <v>2021.0</v>
      </c>
      <c r="E21" s="6">
        <f t="shared" ref="E21:E37" si="2">SUM(F21,G21)</f>
        <v>140606312000</v>
      </c>
      <c r="F21" s="6">
        <v>1.10825029E11</v>
      </c>
      <c r="G21" s="6">
        <v>2.9781283E10</v>
      </c>
      <c r="H21" s="6">
        <v>2.637827E10</v>
      </c>
      <c r="I21" s="6">
        <v>1.9319953E10</v>
      </c>
      <c r="J21" s="7" t="s">
        <v>59</v>
      </c>
      <c r="K21" s="7" t="s">
        <v>59</v>
      </c>
      <c r="L21" s="1">
        <v>19.32</v>
      </c>
      <c r="M21" s="1">
        <v>0.0</v>
      </c>
      <c r="N21" s="6">
        <v>4.5843042E10</v>
      </c>
      <c r="O21" s="1" t="s">
        <v>68</v>
      </c>
    </row>
    <row r="22">
      <c r="A22" s="1" t="s">
        <v>65</v>
      </c>
      <c r="B22" s="1" t="s">
        <v>66</v>
      </c>
      <c r="C22" s="1" t="s">
        <v>67</v>
      </c>
      <c r="D22" s="1">
        <v>2022.0</v>
      </c>
      <c r="E22" s="6">
        <f t="shared" si="2"/>
        <v>132369448000</v>
      </c>
      <c r="F22" s="6">
        <v>9.8208883E10</v>
      </c>
      <c r="G22" s="6">
        <v>3.4160565E10</v>
      </c>
      <c r="H22" s="6">
        <v>1.9814841E10</v>
      </c>
      <c r="I22" s="6">
        <v>1.3032424E10</v>
      </c>
      <c r="J22" s="7" t="s">
        <v>59</v>
      </c>
      <c r="K22" s="7" t="s">
        <v>59</v>
      </c>
      <c r="L22" s="1">
        <v>13.03</v>
      </c>
      <c r="M22" s="7" t="s">
        <v>69</v>
      </c>
      <c r="N22" s="6">
        <v>3.2430726E10</v>
      </c>
      <c r="O22" s="1" t="s">
        <v>70</v>
      </c>
    </row>
    <row r="23">
      <c r="A23" s="1" t="s">
        <v>65</v>
      </c>
      <c r="B23" s="1" t="s">
        <v>66</v>
      </c>
      <c r="C23" s="1" t="s">
        <v>67</v>
      </c>
      <c r="D23" s="1">
        <v>2023.0</v>
      </c>
      <c r="E23" s="6">
        <f t="shared" si="2"/>
        <v>170278145000</v>
      </c>
      <c r="F23" s="6">
        <v>1.13115092E11</v>
      </c>
      <c r="G23" s="6">
        <v>5.7163053E10</v>
      </c>
      <c r="H23" s="6">
        <v>5.0006525E10</v>
      </c>
      <c r="I23" s="6">
        <v>3.2861334E10</v>
      </c>
      <c r="J23" s="7" t="s">
        <v>59</v>
      </c>
      <c r="K23" s="7" t="s">
        <v>59</v>
      </c>
      <c r="L23" s="1">
        <v>32.86</v>
      </c>
      <c r="M23" s="7" t="s">
        <v>69</v>
      </c>
      <c r="N23" s="6">
        <v>5.6501292E10</v>
      </c>
      <c r="O23" s="1" t="s">
        <v>71</v>
      </c>
    </row>
    <row r="24">
      <c r="A24" s="1" t="s">
        <v>65</v>
      </c>
      <c r="B24" s="1" t="s">
        <v>66</v>
      </c>
      <c r="C24" s="1" t="s">
        <v>67</v>
      </c>
      <c r="D24" s="1">
        <v>2024.0</v>
      </c>
      <c r="E24" s="6">
        <f t="shared" si="2"/>
        <v>475096189000</v>
      </c>
      <c r="F24" s="6">
        <v>2.63911588E11</v>
      </c>
      <c r="G24" s="6">
        <v>2.11184601E11</v>
      </c>
      <c r="H24" s="6">
        <v>1.13223279E11</v>
      </c>
      <c r="I24" s="6">
        <v>7.7793086E10</v>
      </c>
      <c r="J24" s="7" t="s">
        <v>59</v>
      </c>
      <c r="K24" s="7" t="s">
        <v>59</v>
      </c>
      <c r="L24" s="1">
        <v>120.64</v>
      </c>
      <c r="M24" s="1">
        <v>42.0</v>
      </c>
      <c r="N24" s="6">
        <v>1.26729311E11</v>
      </c>
      <c r="O24" s="1" t="s">
        <v>72</v>
      </c>
    </row>
    <row r="25">
      <c r="A25" s="1" t="s">
        <v>65</v>
      </c>
      <c r="B25" s="1" t="s">
        <v>66</v>
      </c>
      <c r="C25" s="1" t="s">
        <v>67</v>
      </c>
      <c r="D25" s="1">
        <v>2025.0</v>
      </c>
      <c r="E25" s="6">
        <f t="shared" si="2"/>
        <v>926008472000</v>
      </c>
      <c r="F25" s="6">
        <v>4.83259026E11</v>
      </c>
      <c r="G25" s="6">
        <v>4.42749446E11</v>
      </c>
      <c r="H25" s="6">
        <v>1.77979216E11</v>
      </c>
      <c r="I25" s="6">
        <v>1.21354087E11</v>
      </c>
      <c r="J25" s="7" t="s">
        <v>59</v>
      </c>
      <c r="K25" s="7" t="s">
        <v>59</v>
      </c>
      <c r="L25" s="1">
        <v>76.07</v>
      </c>
      <c r="M25" s="1">
        <v>44.66</v>
      </c>
      <c r="N25" s="6">
        <v>1.76083398E11</v>
      </c>
      <c r="O25" s="1" t="s">
        <v>73</v>
      </c>
    </row>
    <row r="26">
      <c r="A26" s="1" t="s">
        <v>74</v>
      </c>
      <c r="B26" s="1" t="s">
        <v>75</v>
      </c>
      <c r="C26" s="1" t="s">
        <v>76</v>
      </c>
      <c r="D26" s="1">
        <v>2020.0</v>
      </c>
      <c r="E26" s="6">
        <f t="shared" si="2"/>
        <v>2022451000000</v>
      </c>
      <c r="F26" s="6">
        <v>1.131481E12</v>
      </c>
      <c r="G26" s="6">
        <v>8.9097E11</v>
      </c>
      <c r="H26" s="6">
        <v>3.7331E11</v>
      </c>
      <c r="I26" s="6">
        <v>2.76068E11</v>
      </c>
      <c r="J26" s="7" t="s">
        <v>59</v>
      </c>
      <c r="K26" s="7" t="s">
        <v>59</v>
      </c>
      <c r="L26" s="1">
        <v>16.14</v>
      </c>
      <c r="M26" s="1">
        <v>16.0</v>
      </c>
      <c r="N26" s="6">
        <v>7.79271E11</v>
      </c>
      <c r="O26" s="8" t="s">
        <v>77</v>
      </c>
    </row>
    <row r="27">
      <c r="A27" s="1" t="s">
        <v>74</v>
      </c>
      <c r="B27" s="1" t="s">
        <v>75</v>
      </c>
      <c r="C27" s="1" t="s">
        <v>76</v>
      </c>
      <c r="D27" s="1">
        <v>2021.0</v>
      </c>
      <c r="E27" s="6">
        <f t="shared" si="2"/>
        <v>2392019000000</v>
      </c>
      <c r="F27" s="6">
        <v>1.40835E12</v>
      </c>
      <c r="G27" s="6">
        <v>9.83669E11</v>
      </c>
      <c r="H27" s="6">
        <v>5.38366E11</v>
      </c>
      <c r="I27" s="6">
        <v>3.64439E11</v>
      </c>
      <c r="J27" s="7" t="s">
        <v>59</v>
      </c>
      <c r="K27" s="7" t="s">
        <v>59</v>
      </c>
      <c r="L27" s="1">
        <v>21.24</v>
      </c>
      <c r="M27" s="1">
        <v>20.0</v>
      </c>
      <c r="N27" s="6">
        <v>8.68274E11</v>
      </c>
      <c r="O27" s="8" t="s">
        <v>77</v>
      </c>
    </row>
    <row r="28">
      <c r="A28" s="1" t="s">
        <v>74</v>
      </c>
      <c r="B28" s="1" t="s">
        <v>75</v>
      </c>
      <c r="C28" s="1" t="s">
        <v>76</v>
      </c>
      <c r="D28" s="1">
        <v>2022.0</v>
      </c>
      <c r="E28" s="6">
        <f t="shared" si="2"/>
        <v>2615655000000</v>
      </c>
      <c r="F28" s="6">
        <v>1.536708E12</v>
      </c>
      <c r="G28" s="6">
        <v>1.078947E12</v>
      </c>
      <c r="H28" s="6">
        <v>5.24002E11</v>
      </c>
      <c r="I28" s="6">
        <v>3.82311E11</v>
      </c>
      <c r="J28" s="7" t="s">
        <v>59</v>
      </c>
      <c r="K28" s="7" t="s">
        <v>59</v>
      </c>
      <c r="L28" s="1">
        <v>22.27</v>
      </c>
      <c r="M28" s="1">
        <v>20.0</v>
      </c>
      <c r="N28" s="6">
        <v>9.69478E11</v>
      </c>
      <c r="O28" s="8" t="s">
        <v>78</v>
      </c>
    </row>
    <row r="29">
      <c r="A29" s="1" t="s">
        <v>74</v>
      </c>
      <c r="B29" s="1" t="s">
        <v>75</v>
      </c>
      <c r="C29" s="1" t="s">
        <v>76</v>
      </c>
      <c r="D29" s="1">
        <v>2023.0</v>
      </c>
      <c r="E29" s="6">
        <f t="shared" si="2"/>
        <v>3938725000000</v>
      </c>
      <c r="F29" s="6">
        <v>2.212885E12</v>
      </c>
      <c r="G29" s="6">
        <v>1.72584E12</v>
      </c>
      <c r="H29" s="6">
        <v>5.53104E11</v>
      </c>
      <c r="I29" s="6">
        <v>4.55583E11</v>
      </c>
      <c r="J29" s="7" t="s">
        <v>59</v>
      </c>
      <c r="K29" s="7" t="s">
        <v>59</v>
      </c>
      <c r="L29" s="1">
        <v>26.47</v>
      </c>
      <c r="M29" s="1">
        <v>30.0</v>
      </c>
      <c r="N29" s="6">
        <v>1.098626E12</v>
      </c>
      <c r="O29" s="8" t="s">
        <v>79</v>
      </c>
    </row>
    <row r="30">
      <c r="A30" s="1" t="s">
        <v>74</v>
      </c>
      <c r="B30" s="1" t="s">
        <v>75</v>
      </c>
      <c r="C30" s="1" t="s">
        <v>76</v>
      </c>
      <c r="D30" s="1">
        <v>2024.0</v>
      </c>
      <c r="E30" s="6">
        <f t="shared" si="2"/>
        <v>6403238000000</v>
      </c>
      <c r="F30" s="6">
        <v>4.227993E12</v>
      </c>
      <c r="G30" s="6">
        <v>2.175245E12</v>
      </c>
      <c r="H30" s="6">
        <v>7.32537E11</v>
      </c>
      <c r="I30" s="6">
        <v>5.03247E11</v>
      </c>
      <c r="J30" s="7" t="s">
        <v>59</v>
      </c>
      <c r="K30" s="7" t="s">
        <v>59</v>
      </c>
      <c r="L30" s="1">
        <v>29.74</v>
      </c>
      <c r="M30" s="1">
        <v>30.0</v>
      </c>
      <c r="N30" s="6">
        <v>1.027046E12</v>
      </c>
      <c r="O30" s="8" t="s">
        <v>80</v>
      </c>
    </row>
    <row r="31">
      <c r="A31" s="1" t="s">
        <v>74</v>
      </c>
      <c r="B31" s="1" t="s">
        <v>75</v>
      </c>
      <c r="C31" s="1" t="s">
        <v>76</v>
      </c>
      <c r="D31" s="1">
        <v>2025.0</v>
      </c>
      <c r="E31" s="6">
        <f t="shared" si="2"/>
        <v>6040727000000</v>
      </c>
      <c r="F31" s="6">
        <v>3.420591E12</v>
      </c>
      <c r="G31" s="6">
        <v>2.620136E12</v>
      </c>
      <c r="H31" s="6">
        <v>1.53266E12</v>
      </c>
      <c r="I31" s="6">
        <v>1.014921E12</v>
      </c>
      <c r="J31" s="7" t="s">
        <v>59</v>
      </c>
      <c r="K31" s="7" t="s">
        <v>59</v>
      </c>
      <c r="L31" s="1">
        <v>59.86</v>
      </c>
      <c r="M31" s="1">
        <v>45.0</v>
      </c>
      <c r="N31" s="6">
        <v>1.505365E12</v>
      </c>
      <c r="O31" s="8" t="s">
        <v>81</v>
      </c>
    </row>
    <row r="32">
      <c r="A32" s="1" t="s">
        <v>82</v>
      </c>
      <c r="B32" s="1" t="s">
        <v>83</v>
      </c>
      <c r="C32" s="1" t="s">
        <v>84</v>
      </c>
      <c r="D32" s="1">
        <v>2020.0</v>
      </c>
      <c r="E32" s="6">
        <f t="shared" si="2"/>
        <v>1310837000000</v>
      </c>
      <c r="F32" s="6">
        <v>6.785E11</v>
      </c>
      <c r="G32" s="6">
        <v>6.32337E11</v>
      </c>
      <c r="H32" s="6">
        <v>-2.8872E10</v>
      </c>
      <c r="I32" s="6">
        <v>-3.0712E10</v>
      </c>
      <c r="J32" s="7" t="s">
        <v>59</v>
      </c>
      <c r="K32" s="7" t="s">
        <v>59</v>
      </c>
      <c r="L32" s="1">
        <v>-46.42</v>
      </c>
      <c r="M32" s="1">
        <v>37.95</v>
      </c>
      <c r="N32" s="6">
        <v>2.1179E11</v>
      </c>
      <c r="O32" s="1" t="s">
        <v>85</v>
      </c>
    </row>
    <row r="33">
      <c r="A33" s="1" t="s">
        <v>82</v>
      </c>
      <c r="B33" s="1" t="s">
        <v>83</v>
      </c>
      <c r="C33" s="1" t="s">
        <v>84</v>
      </c>
      <c r="D33" s="1">
        <v>2021.0</v>
      </c>
      <c r="E33" s="6">
        <f t="shared" si="2"/>
        <v>1603536000000</v>
      </c>
      <c r="F33" s="6">
        <v>9.00172E11</v>
      </c>
      <c r="G33" s="6">
        <v>7.03364E11</v>
      </c>
      <c r="H33" s="6">
        <v>7.1028E10</v>
      </c>
      <c r="I33" s="6">
        <v>4.6931E10</v>
      </c>
      <c r="J33" s="7" t="s">
        <v>59</v>
      </c>
      <c r="K33" s="7" t="s">
        <v>59</v>
      </c>
      <c r="L33" s="1">
        <v>97.63</v>
      </c>
      <c r="M33" s="1">
        <v>41.03</v>
      </c>
      <c r="N33" s="6">
        <v>2.39429E11</v>
      </c>
      <c r="O33" s="1" t="s">
        <v>85</v>
      </c>
    </row>
    <row r="34">
      <c r="A34" s="1" t="s">
        <v>82</v>
      </c>
      <c r="B34" s="1" t="s">
        <v>83</v>
      </c>
      <c r="C34" s="1" t="s">
        <v>84</v>
      </c>
      <c r="D34" s="1">
        <v>2022.0</v>
      </c>
      <c r="E34" s="6">
        <f t="shared" si="2"/>
        <v>1489980000000</v>
      </c>
      <c r="F34" s="6">
        <v>7.03086E11</v>
      </c>
      <c r="G34" s="6">
        <v>7.86894E11</v>
      </c>
      <c r="H34" s="6">
        <v>8.673E10</v>
      </c>
      <c r="I34" s="6">
        <v>4.4433E10</v>
      </c>
      <c r="J34" s="7" t="s">
        <v>59</v>
      </c>
      <c r="K34" s="7" t="s">
        <v>59</v>
      </c>
      <c r="L34" s="1">
        <v>45.0</v>
      </c>
      <c r="M34" s="1">
        <v>46.15</v>
      </c>
      <c r="N34" s="6">
        <v>2.41386E11</v>
      </c>
      <c r="O34" s="1" t="s">
        <v>86</v>
      </c>
    </row>
    <row r="35">
      <c r="A35" s="1" t="s">
        <v>82</v>
      </c>
      <c r="B35" s="1" t="s">
        <v>83</v>
      </c>
      <c r="C35" s="1" t="s">
        <v>84</v>
      </c>
      <c r="D35" s="1">
        <v>2023.0</v>
      </c>
      <c r="E35" s="6">
        <f t="shared" si="2"/>
        <v>3053454000000</v>
      </c>
      <c r="F35" s="6">
        <v>1.440819E12</v>
      </c>
      <c r="G35" s="6">
        <v>1.612635E12</v>
      </c>
      <c r="H35" s="6">
        <v>1.2554E11</v>
      </c>
      <c r="I35" s="6">
        <v>8.133E10</v>
      </c>
      <c r="J35" s="7" t="s">
        <v>59</v>
      </c>
      <c r="K35" s="7" t="s">
        <v>59</v>
      </c>
      <c r="L35" s="1">
        <v>92.75</v>
      </c>
      <c r="M35" s="1">
        <v>108.85</v>
      </c>
      <c r="N35" s="6">
        <v>2.30708E11</v>
      </c>
      <c r="O35" s="1" t="s">
        <v>87</v>
      </c>
    </row>
    <row r="36">
      <c r="A36" s="1" t="s">
        <v>82</v>
      </c>
      <c r="B36" s="1" t="s">
        <v>83</v>
      </c>
      <c r="C36" s="1" t="s">
        <v>84</v>
      </c>
      <c r="D36" s="1">
        <v>2024.0</v>
      </c>
      <c r="E36" s="6">
        <f t="shared" si="2"/>
        <v>10482794000000</v>
      </c>
      <c r="F36" s="6">
        <v>7.660431E12</v>
      </c>
      <c r="G36" s="6">
        <v>2.822363E12</v>
      </c>
      <c r="H36" s="6">
        <v>3.94669E11</v>
      </c>
      <c r="I36" s="6">
        <v>2.07869E11</v>
      </c>
      <c r="J36" s="7" t="s">
        <v>59</v>
      </c>
      <c r="K36" s="7" t="s">
        <v>59</v>
      </c>
      <c r="L36" s="1">
        <v>374.77</v>
      </c>
      <c r="M36" s="1">
        <v>379.39</v>
      </c>
      <c r="N36" s="6">
        <v>3.12635E11</v>
      </c>
      <c r="O36" s="1" t="s">
        <v>88</v>
      </c>
    </row>
    <row r="37">
      <c r="A37" s="1" t="s">
        <v>82</v>
      </c>
      <c r="B37" s="1" t="s">
        <v>83</v>
      </c>
      <c r="C37" s="1" t="s">
        <v>84</v>
      </c>
      <c r="D37" s="1">
        <v>2025.0</v>
      </c>
      <c r="E37" s="6">
        <f t="shared" si="2"/>
        <v>8729381000000</v>
      </c>
      <c r="F37" s="6">
        <v>6.086145E12</v>
      </c>
      <c r="G37" s="6">
        <v>2.643236E12</v>
      </c>
      <c r="H37" s="6">
        <v>7.55505E11</v>
      </c>
      <c r="I37" s="6">
        <v>2.4158E11</v>
      </c>
      <c r="J37" s="7" t="s">
        <v>59</v>
      </c>
      <c r="K37" s="7" t="s">
        <v>59</v>
      </c>
      <c r="L37" s="1">
        <v>409.92</v>
      </c>
      <c r="M37" s="1">
        <v>379.39</v>
      </c>
      <c r="N37" s="6">
        <v>3.42409E11</v>
      </c>
      <c r="O37" s="1" t="s">
        <v>89</v>
      </c>
    </row>
    <row r="40">
      <c r="B40" s="4" t="s">
        <v>90</v>
      </c>
    </row>
    <row r="41">
      <c r="A41" s="1" t="s">
        <v>91</v>
      </c>
      <c r="B41" s="2" t="s">
        <v>92</v>
      </c>
    </row>
    <row r="42">
      <c r="A42" s="1" t="s">
        <v>91</v>
      </c>
      <c r="B42" s="2" t="s">
        <v>93</v>
      </c>
    </row>
    <row r="43">
      <c r="A43" s="1" t="s">
        <v>91</v>
      </c>
      <c r="B43" s="2" t="s">
        <v>94</v>
      </c>
    </row>
    <row r="44">
      <c r="A44" s="1" t="s">
        <v>91</v>
      </c>
      <c r="B44" s="2" t="s">
        <v>95</v>
      </c>
    </row>
    <row r="45">
      <c r="B45"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63"/>
    <col customWidth="1" min="5" max="5" width="13.63"/>
    <col customWidth="1" min="6" max="6" width="16.0"/>
    <col customWidth="1" min="7" max="7" width="17.0"/>
    <col customWidth="1" min="8" max="8" width="17.75"/>
    <col customWidth="1" min="11" max="12" width="18.75"/>
    <col customWidth="1" min="13" max="14" width="20.13"/>
    <col customWidth="1" min="20" max="21" width="20.0"/>
    <col customWidth="1" min="22" max="25" width="27.5"/>
  </cols>
  <sheetData>
    <row r="1">
      <c r="A1" s="1" t="s">
        <v>26</v>
      </c>
      <c r="B1" s="1" t="s">
        <v>28</v>
      </c>
      <c r="C1" s="1" t="s">
        <v>96</v>
      </c>
      <c r="D1" s="1" t="s">
        <v>97</v>
      </c>
      <c r="E1" s="1" t="s">
        <v>98</v>
      </c>
      <c r="F1" s="1" t="s">
        <v>99</v>
      </c>
      <c r="G1" s="1" t="s">
        <v>100</v>
      </c>
      <c r="H1" s="1" t="s">
        <v>101</v>
      </c>
      <c r="I1" s="1" t="s">
        <v>102</v>
      </c>
      <c r="J1" s="1" t="s">
        <v>103</v>
      </c>
      <c r="K1" s="9" t="s">
        <v>104</v>
      </c>
      <c r="L1" s="9" t="s">
        <v>105</v>
      </c>
      <c r="M1" s="9" t="s">
        <v>106</v>
      </c>
      <c r="N1" s="9" t="s">
        <v>107</v>
      </c>
      <c r="O1" s="4" t="s">
        <v>108</v>
      </c>
      <c r="P1" s="4" t="s">
        <v>109</v>
      </c>
      <c r="Q1" s="4" t="s">
        <v>110</v>
      </c>
      <c r="R1" s="4" t="s">
        <v>111</v>
      </c>
      <c r="S1" s="10" t="s">
        <v>112</v>
      </c>
      <c r="T1" s="4" t="s">
        <v>113</v>
      </c>
      <c r="U1" s="4" t="s">
        <v>114</v>
      </c>
      <c r="V1" s="1" t="s">
        <v>115</v>
      </c>
      <c r="W1" s="1" t="s">
        <v>116</v>
      </c>
      <c r="X1" s="1" t="s">
        <v>117</v>
      </c>
      <c r="Y1" s="1" t="s">
        <v>118</v>
      </c>
    </row>
    <row r="2">
      <c r="A2" s="1" t="s">
        <v>42</v>
      </c>
      <c r="B2" s="11" t="str">
        <f>VLOOKUP(A2, RAW_DATA!B:C, 2, FALSE)</f>
        <v>Banking</v>
      </c>
      <c r="C2" s="11">
        <f>AVERAGEIF(RATIOS!A:A,A2,RATIOS!C:C)</f>
        <v>0.2702337889</v>
      </c>
      <c r="D2" s="11">
        <f>AVERAGEIF(RATIOS!A:A,A2,RATIOS!D:D)</f>
        <v>0.04539396874</v>
      </c>
      <c r="E2" s="11">
        <f>AVERAGEIF(RATIOS!A:A,A2,RATIOS!E:E)</f>
        <v>5.062058217</v>
      </c>
      <c r="F2" s="11">
        <f>AVERAGEIF(RATIOS!A:A,A2,RATIOS!F:F)</f>
        <v>0.1665680347</v>
      </c>
      <c r="G2" s="11">
        <f>AVERAGEIF(RATIOS!A:A,A2,RATIOS!G:G)</f>
        <v>0.3031460469</v>
      </c>
      <c r="H2" s="11">
        <f>AVERAGEIF(RATIOS!A:A,A2,RATIOS!H:H)</f>
        <v>0.5524240497</v>
      </c>
      <c r="I2" s="11">
        <f>AVERAGEIF(RAW_DATA!B:B,A2,RAW_DATA!L:L)</f>
        <v>16.52333333</v>
      </c>
      <c r="J2" s="11">
        <f>AVERAGEIF(RAW_DATA!B:B,A2,RAW_DATA!M:M)</f>
        <v>4.005</v>
      </c>
      <c r="K2" s="12">
        <f>SUMIF(RAW_DATA!B:B,A2,RAW_DATA!I:I)</f>
        <v>2968657074000</v>
      </c>
      <c r="L2" s="12">
        <f>AVERAGEIF(RAW_DATA!B:B,A2,RAW_DATA!H:H)</f>
        <v>630063780167</v>
      </c>
      <c r="M2" s="12">
        <f>SUMIF(RAW_DATA!B:B,A2,RAW_DATA!E:E)</f>
        <v>59075258483000</v>
      </c>
      <c r="N2" s="12">
        <f>AVERAGEIF(RAW_DATA!B:B,A2,RAW_DATA!E:E)</f>
        <v>9845876413833</v>
      </c>
      <c r="O2" s="11">
        <f>COUNTIFS(RAW_DATA!B:B,A2,RAW_DATA!H:H,"&gt;0")</f>
        <v>6</v>
      </c>
      <c r="P2" s="11">
        <f>COUNTIFS(RAW_DATA!B:B,A2,RAW_DATA!M:M,"&gt;0")</f>
        <v>6</v>
      </c>
      <c r="Q2" s="11">
        <f>MAXIFS(RAW_DATA!L:L,RAW_DATA!B:B,A2)</f>
        <v>35.44</v>
      </c>
      <c r="R2" s="11">
        <f>MAXIFS(RAW_DATA!M:M,RAW_DATA!B:B,A2)</f>
        <v>8.03</v>
      </c>
      <c r="S2" s="13">
        <f>MAXIFS(RATIOS!C:C,RATIOS!A:A,A2)</f>
        <v>0.3752935983</v>
      </c>
      <c r="T2" s="13">
        <f>MAXIFS(RATIOS!H:H,RATIOS!A:A,A2)</f>
        <v>2.189949224</v>
      </c>
      <c r="U2" s="13">
        <f>MAXIFS(RATIOS!G:G,RATIOS!A:A,A2)</f>
        <v>0.526707049</v>
      </c>
      <c r="V2" s="14">
        <v>9.651590981538096</v>
      </c>
      <c r="W2" s="14">
        <v>48.669743336458936</v>
      </c>
      <c r="X2" s="14">
        <v>22.176351601873655</v>
      </c>
      <c r="Y2" s="14">
        <v>25.114464874115015</v>
      </c>
    </row>
    <row r="3">
      <c r="A3" s="1" t="s">
        <v>49</v>
      </c>
      <c r="B3" s="11" t="str">
        <f>VLOOKUP(A3, RAW_DATA!B:C, 2, FALSE)</f>
        <v>Banking</v>
      </c>
      <c r="C3" s="11">
        <f>AVERAGEIF(RATIOS!A:A,A3,RATIOS!C:C)</f>
        <v>0.2198040741</v>
      </c>
      <c r="D3" s="11">
        <f>AVERAGEIF(RATIOS!A:A,A3,RATIOS!D:D)</f>
        <v>0.02868079972</v>
      </c>
      <c r="E3" s="11">
        <f>AVERAGEIF(RATIOS!A:A,A3,RATIOS!E:E)</f>
        <v>6.745399258</v>
      </c>
      <c r="F3" s="11">
        <f>AVERAGEIF(RATIOS!A:A,A3,RATIOS!F:F)</f>
        <v>0.130757035</v>
      </c>
      <c r="G3" s="11">
        <f>AVERAGEIF(RATIOS!A:A,A3,RATIOS!G:G)</f>
        <v>0.3186212932</v>
      </c>
      <c r="H3" s="11">
        <f>AVERAGEIF(RATIOS!A:A,A3,RATIOS!H:H)</f>
        <v>0.5065374544</v>
      </c>
      <c r="I3" s="11">
        <f>AVERAGEIF(RAW_DATA!B:B,A3,RAW_DATA!L:L)</f>
        <v>17</v>
      </c>
      <c r="J3" s="11">
        <f>AVERAGEIF(RAW_DATA!B:B,A3,RAW_DATA!M:M)</f>
        <v>4.108333333</v>
      </c>
      <c r="K3" s="12">
        <f>SUMIF(RAW_DATA!B:B,A3,RAW_DATA!I:I)</f>
        <v>3449384000000</v>
      </c>
      <c r="L3" s="12">
        <f>AVERAGEIF(RAW_DATA!B:B,A3,RAW_DATA!H:H)</f>
        <v>701178000000</v>
      </c>
      <c r="M3" s="12">
        <f>SUMIF(RAW_DATA!B:B,A3,RAW_DATA!E:E)</f>
        <v>111998776000000</v>
      </c>
      <c r="N3" s="12">
        <f>AVERAGEIF(RAW_DATA!B:B,A3,RAW_DATA!E:E)</f>
        <v>18666462666667</v>
      </c>
      <c r="O3" s="11">
        <f>COUNTIFS(RAW_DATA!B:B,A3,RAW_DATA!H:H,"&gt;0")</f>
        <v>6</v>
      </c>
      <c r="P3" s="11">
        <f>COUNTIFS(RAW_DATA!B:B,A3,RAW_DATA!M:M,"&gt;0")</f>
        <v>6</v>
      </c>
      <c r="Q3" s="11">
        <f>MAXIFS(RAW_DATA!L:L,RAW_DATA!B:B,A3)</f>
        <v>32.87</v>
      </c>
      <c r="R3" s="11">
        <f>MAXIFS(RAW_DATA!M:M,RAW_DATA!B:B,A3)</f>
        <v>8.75</v>
      </c>
      <c r="S3" s="13">
        <f>MAXIFS(RATIOS!C:C,RATIOS!A:A,A3)</f>
        <v>0.2913466587</v>
      </c>
      <c r="T3" s="13">
        <f>MAXIFS(RATIOS!H:H,RATIOS!A:A,A3)</f>
        <v>2.023116327</v>
      </c>
      <c r="U3" s="13">
        <f>MAXIFS(RATIOS!G:G,RATIOS!A:A,A3)</f>
        <v>0.657909009</v>
      </c>
      <c r="V3" s="14">
        <v>5.651591363029003</v>
      </c>
      <c r="W3" s="14">
        <v>48.41574288491297</v>
      </c>
      <c r="X3" s="14">
        <v>11.203407592316841</v>
      </c>
      <c r="Y3" s="14">
        <v>20.146381688380544</v>
      </c>
    </row>
    <row r="4">
      <c r="A4" s="1" t="s">
        <v>57</v>
      </c>
      <c r="B4" s="11" t="str">
        <f>VLOOKUP(A4, RAW_DATA!B:C, 2, FALSE)</f>
        <v>Telecomunication</v>
      </c>
      <c r="C4" s="11">
        <f>AVERAGEIF(RATIOS!A:A,A4,RATIOS!C:C)</f>
        <v>1.643810246</v>
      </c>
      <c r="D4" s="11">
        <f>AVERAGEIF(RATIOS!A:A,A4,RATIOS!D:D)</f>
        <v>0.07359747484</v>
      </c>
      <c r="E4" s="11">
        <f>AVERAGEIF(RATIOS!A:A,A4,RATIOS!E:E)</f>
        <v>-9.030432156</v>
      </c>
      <c r="F4" s="11">
        <f>AVERAGEIF(RATIOS!A:A,A4,RATIOS!F:F)</f>
        <v>0.04852013704</v>
      </c>
      <c r="G4" s="11">
        <f>AVERAGEIF(RATIOS!A:A,A4,RATIOS!G:G)</f>
        <v>0.2267936147</v>
      </c>
      <c r="H4" s="11">
        <f>AVERAGEIF(RATIOS!A:A,A4,RATIOS!H:H)</f>
        <v>-0.5253118319</v>
      </c>
      <c r="I4" s="11">
        <f>AVERAGEIF(RAW_DATA!B:B,A4,RAW_DATA!L:L)</f>
        <v>11.59833333</v>
      </c>
      <c r="J4" s="11">
        <f>AVERAGEIF(RAW_DATA!B:B,A4,RAW_DATA!M:M)</f>
        <v>10.61666667</v>
      </c>
      <c r="K4" s="12">
        <f>SUMIF(RAW_DATA!B:B,A4,RAW_DATA!I:I)</f>
        <v>1427986000000</v>
      </c>
      <c r="L4" s="12">
        <f>AVERAGEIF(RAW_DATA!B:B,A4,RAW_DATA!H:H)</f>
        <v>370367166667</v>
      </c>
      <c r="M4" s="12">
        <f>SUMIF(RAW_DATA!B:B,A4,RAW_DATA!E:E)</f>
        <v>19551774000000</v>
      </c>
      <c r="N4" s="12">
        <f>AVERAGEIF(RAW_DATA!B:B,A4,RAW_DATA!E:E)</f>
        <v>3258629000000</v>
      </c>
      <c r="O4" s="11">
        <f>COUNTIFS(RAW_DATA!B:B,A4,RAW_DATA!H:H,"&gt;0")</f>
        <v>4</v>
      </c>
      <c r="P4" s="11">
        <f>COUNTIFS(RAW_DATA!B:B,A4,RAW_DATA!M:M,"&gt;0")</f>
        <v>5</v>
      </c>
      <c r="Q4" s="11">
        <f>MAXIFS(RAW_DATA!L:L,RAW_DATA!B:B,A4)</f>
        <v>53.07</v>
      </c>
      <c r="R4" s="11">
        <f>MAXIFS(RAW_DATA!M:M,RAW_DATA!B:B,A4)</f>
        <v>20</v>
      </c>
      <c r="S4" s="13">
        <f>MAXIFS(RATIOS!C:C,RATIOS!A:A,A4)</f>
        <v>3.354715503</v>
      </c>
      <c r="T4" s="13">
        <f>MAXIFS(RATIOS!H:H,RATIOS!A:A,A4)</f>
        <v>1.922456576</v>
      </c>
      <c r="U4" s="13">
        <f>MAXIFS(RATIOS!G:G,RATIOS!A:A,A4)</f>
        <v>0.3161551254</v>
      </c>
      <c r="V4" s="14">
        <v>36.9584018438719</v>
      </c>
      <c r="W4" s="14">
        <v>0.0</v>
      </c>
      <c r="X4" s="14">
        <v>43.12156652716115</v>
      </c>
      <c r="Y4" s="14">
        <v>27.719830695697105</v>
      </c>
    </row>
    <row r="5">
      <c r="A5" s="1" t="s">
        <v>75</v>
      </c>
      <c r="B5" s="11" t="str">
        <f>VLOOKUP(A5, RAW_DATA!B:C, 2, FALSE)</f>
        <v>Industrial Goods</v>
      </c>
      <c r="C5" s="11">
        <f>AVERAGEIF(RATIOS!A:A,A5,RATIOS!C:C)</f>
        <v>0.3195602338</v>
      </c>
      <c r="D5" s="11">
        <f>AVERAGEIF(RATIOS!A:A,A5,RATIOS!D:D)</f>
        <v>0.1328823043</v>
      </c>
      <c r="E5" s="11">
        <f>AVERAGEIF(RATIOS!A:A,A5,RATIOS!E:E)</f>
        <v>1.442889271</v>
      </c>
      <c r="F5" s="11">
        <f>AVERAGEIF(RATIOS!A:A,A5,RATIOS!F:F)</f>
        <v>0.4126487971</v>
      </c>
      <c r="G5" s="11">
        <f>AVERAGEIF(RATIOS!A:A,A5,RATIOS!G:G)</f>
        <v>0.2702304821</v>
      </c>
      <c r="H5" s="11">
        <f>AVERAGEIF(RATIOS!A:A,A5,RATIOS!H:H)</f>
        <v>0.3364336808</v>
      </c>
      <c r="I5" s="11">
        <f>AVERAGEIF(RAW_DATA!B:B,A5,RAW_DATA!L:L)</f>
        <v>29.28666667</v>
      </c>
      <c r="J5" s="11">
        <f>AVERAGEIF(RAW_DATA!B:B,A5,RAW_DATA!M:M)</f>
        <v>26.83333333</v>
      </c>
      <c r="K5" s="12">
        <f>SUMIF(RAW_DATA!B:B,A5,RAW_DATA!I:I)</f>
        <v>2996569000000</v>
      </c>
      <c r="L5" s="12">
        <f>AVERAGEIF(RAW_DATA!B:B,A5,RAW_DATA!H:H)</f>
        <v>708996500000</v>
      </c>
      <c r="M5" s="12">
        <f>SUMIF(RAW_DATA!B:B,A5,RAW_DATA!E:E)</f>
        <v>23412815000000</v>
      </c>
      <c r="N5" s="12">
        <f>AVERAGEIF(RAW_DATA!B:B,A5,RAW_DATA!E:E)</f>
        <v>3902135833333</v>
      </c>
      <c r="O5" s="11">
        <f>COUNTIFS(RAW_DATA!B:B,A5,RAW_DATA!H:H,"&gt;0")</f>
        <v>6</v>
      </c>
      <c r="P5" s="11">
        <f>COUNTIFS(RAW_DATA!B:B,A5,RAW_DATA!M:M,"&gt;0")</f>
        <v>6</v>
      </c>
      <c r="Q5" s="11">
        <f>MAXIFS(RAW_DATA!L:L,RAW_DATA!B:B,A5)</f>
        <v>59.86</v>
      </c>
      <c r="R5" s="11">
        <f>MAXIFS(RAW_DATA!M:M,RAW_DATA!B:B,A5)</f>
        <v>45</v>
      </c>
      <c r="S5" s="13">
        <f>MAXIFS(RATIOS!C:C,RATIOS!A:A,A5)</f>
        <v>0.3873543205</v>
      </c>
      <c r="T5" s="13">
        <f>MAXIFS(RATIOS!H:H,RATIOS!A:A,A5)</f>
        <v>1.016745256</v>
      </c>
      <c r="U5" s="13">
        <f>MAXIFS(RATIOS!G:G,RATIOS!A:A,A5)</f>
        <v>0.6257133971</v>
      </c>
      <c r="V5" s="14">
        <v>33.377005465143235</v>
      </c>
      <c r="W5" s="14">
        <v>37.2055859414692</v>
      </c>
      <c r="X5" s="14">
        <v>75.97209577078098</v>
      </c>
      <c r="Y5" s="14">
        <v>47.304106699732344</v>
      </c>
    </row>
    <row r="6">
      <c r="A6" s="1" t="s">
        <v>119</v>
      </c>
      <c r="B6" s="11" t="str">
        <f>VLOOKUP(A6, RAW_DATA!B:C, 2, FALSE)</f>
        <v>Oil &amp; Gas</v>
      </c>
      <c r="C6" s="11">
        <f>AVERAGEIF(RATIOS!A:A,A6,RATIOS!C:C)</f>
        <v>0.04835002203</v>
      </c>
      <c r="D6" s="11">
        <f>AVERAGEIF(RATIOS!A:A,A6,RATIOS!D:D)</f>
        <v>0.01829973387</v>
      </c>
      <c r="E6" s="11">
        <f>AVERAGEIF(RATIOS!A:A,A6,RATIOS!E:E)</f>
        <v>1.52608185</v>
      </c>
      <c r="F6" s="11">
        <f>AVERAGEIF(RATIOS!A:A,A6,RATIOS!F:F)</f>
        <v>0.4248864633</v>
      </c>
      <c r="G6" s="11">
        <f>AVERAGEIF(RATIOS!A:A,A6,RATIOS!G:G)</f>
        <v>0.693525835</v>
      </c>
      <c r="H6" s="11">
        <f>AVERAGEIF(RATIOS!A:A,A6,RATIOS!H:H)</f>
        <v>-0.006577024065</v>
      </c>
      <c r="I6" s="11">
        <f>AVERAGEIF(RAW_DATA!B:B,A6,RAW_DATA!L:L)</f>
        <v>162.275</v>
      </c>
      <c r="J6" s="11">
        <f>AVERAGEIF(RAW_DATA!B:B,A6,RAW_DATA!M:M)</f>
        <v>165.46</v>
      </c>
      <c r="K6" s="12">
        <f>SUMIF(RAW_DATA!B:B,A6,RAW_DATA!I:I)</f>
        <v>591431000000</v>
      </c>
      <c r="L6" s="12">
        <f>AVERAGEIF(RAW_DATA!B:B,A6,RAW_DATA!H:H)</f>
        <v>234100000000</v>
      </c>
      <c r="M6" s="12">
        <f>SUMIF(RAW_DATA!B:B,A6,RAW_DATA!E:E)</f>
        <v>26669982000000</v>
      </c>
      <c r="N6" s="12">
        <f>AVERAGEIF(RAW_DATA!B:B,A6,RAW_DATA!E:E)</f>
        <v>4444997000000</v>
      </c>
      <c r="O6" s="11">
        <f>COUNTIFS(RAW_DATA!B:B,A6,RAW_DATA!H:H,"&gt;0")</f>
        <v>5</v>
      </c>
      <c r="P6" s="11">
        <f>COUNTIFS(RAW_DATA!B:B,A6,RAW_DATA!M:M,"&gt;0")</f>
        <v>6</v>
      </c>
      <c r="Q6" s="11">
        <f>MAXIFS(RAW_DATA!L:L,RAW_DATA!B:B,A6)</f>
        <v>409.92</v>
      </c>
      <c r="R6" s="11">
        <f>MAXIFS(RAW_DATA!M:M,RAW_DATA!B:B,A6)</f>
        <v>379.39</v>
      </c>
      <c r="S6" s="13">
        <f>MAXIFS(RATIOS!C:C,RATIOS!A:A,A6)</f>
        <v>0.09139554697</v>
      </c>
      <c r="T6" s="13">
        <f>MAXIFS(RATIOS!H:H,RATIOS!A:A,A6)</f>
        <v>1.555871142</v>
      </c>
      <c r="U6" s="13">
        <f>MAXIFS(RATIOS!G:G,RATIOS!A:A,A6)</f>
        <v>2.433093801</v>
      </c>
      <c r="V6" s="14">
        <v>50.0</v>
      </c>
      <c r="W6" s="14">
        <v>65.1746681692843</v>
      </c>
      <c r="X6" s="14">
        <v>49.92527861915498</v>
      </c>
      <c r="Y6" s="14">
        <v>54.52998403653178</v>
      </c>
    </row>
    <row r="7">
      <c r="A7" s="1" t="s">
        <v>65</v>
      </c>
      <c r="B7" s="11" t="str">
        <f>VLOOKUP(A7, RAW_DATA!B:C, 2, FALSE)</f>
        <v>Agriculture</v>
      </c>
      <c r="C7" s="11">
        <f>AVERAGEIF(RATIOS!A:A,A7,RATIOS!C:C)</f>
        <v>0.4495120953</v>
      </c>
      <c r="D7" s="11">
        <f>AVERAGEIF(RATIOS!A:A,A7,RATIOS!D:D)</f>
        <v>0.1447276437</v>
      </c>
      <c r="E7" s="11">
        <f>AVERAGEIF(RATIOS!A:A,A7,RATIOS!E:E)</f>
        <v>2.183240098</v>
      </c>
      <c r="F7" s="11">
        <f>AVERAGEIF(RATIOS!A:A,A7,RATIOS!F:F)</f>
        <v>0.3456431869</v>
      </c>
      <c r="G7" s="11">
        <f>AVERAGEIF(RATIOS!A:A,A7,RATIOS!G:G)</f>
        <v>0.7417549378</v>
      </c>
      <c r="H7" s="11">
        <f>AVERAGEIF(RATIOS!A:A,A7,RATIOS!H:H)</f>
        <v>0.7808342861</v>
      </c>
      <c r="I7" s="11">
        <f>AVERAGEIF(RAW_DATA!B:B,A7,RAW_DATA!L:L)</f>
        <v>52.384</v>
      </c>
      <c r="J7" s="11">
        <f>AVERAGEIF(RAW_DATA!B:B,A7,RAW_DATA!M:M)</f>
        <v>28.88666667</v>
      </c>
      <c r="K7" s="12">
        <f>SUMIF(RAW_DATA!B:B,A7,RAW_DATA!I:I)</f>
        <v>264360884000</v>
      </c>
      <c r="L7" s="12">
        <f>AVERAGEIF(RAW_DATA!B:B,A7,RAW_DATA!H:H)</f>
        <v>77480426200</v>
      </c>
      <c r="M7" s="12">
        <f>SUMIF(RAW_DATA!B:B,A7,RAW_DATA!E:E)</f>
        <v>1844358566000</v>
      </c>
      <c r="N7" s="12">
        <f>AVERAGEIF(RAW_DATA!B:B,A7,RAW_DATA!E:E)</f>
        <v>368871713200</v>
      </c>
      <c r="O7" s="11">
        <f>COUNTIFS(RAW_DATA!B:B,A7,RAW_DATA!H:H,"&gt;0")</f>
        <v>5</v>
      </c>
      <c r="P7" s="11">
        <f>COUNTIFS(RAW_DATA!B:B,A7,RAW_DATA!M:M,"&gt;0")</f>
        <v>2</v>
      </c>
      <c r="Q7" s="11">
        <f>MAXIFS(RAW_DATA!L:L,RAW_DATA!B:B,A7)</f>
        <v>120.64</v>
      </c>
      <c r="R7" s="11">
        <f>MAXIFS(RAW_DATA!M:M,RAW_DATA!B:B,A7)</f>
        <v>44.66</v>
      </c>
      <c r="S7" s="13">
        <f>MAXIFS(RATIOS!C:C,RATIOS!A:A,A7)</f>
        <v>0.6487280283</v>
      </c>
      <c r="T7" s="13">
        <f>MAXIFS(RATIOS!H:H,RATIOS!A:A,A7)</f>
        <v>1.521505899</v>
      </c>
      <c r="U7" s="13">
        <f>MAXIFS(RATIOS!G:G,RATIOS!A:A,A7)</f>
        <v>1.790118421</v>
      </c>
      <c r="V7" s="14">
        <v>41.90580176419038</v>
      </c>
      <c r="W7" s="14">
        <v>100.0</v>
      </c>
      <c r="X7" s="14">
        <v>70.25366767580621</v>
      </c>
      <c r="Y7" s="14">
        <v>67.83842100841801</v>
      </c>
    </row>
    <row r="8">
      <c r="K8" s="12"/>
      <c r="L8" s="12"/>
      <c r="M8" s="12"/>
      <c r="N8" s="12"/>
      <c r="R8" s="13"/>
      <c r="S8" s="13"/>
      <c r="T8" s="13"/>
      <c r="U8" s="13"/>
    </row>
    <row r="9">
      <c r="K9" s="12"/>
      <c r="L9" s="12"/>
      <c r="M9" s="12"/>
      <c r="N9" s="12"/>
      <c r="R9" s="13"/>
      <c r="S9" s="13"/>
      <c r="T9" s="13"/>
      <c r="U9" s="13"/>
    </row>
    <row r="10">
      <c r="K10" s="12"/>
      <c r="L10" s="12"/>
      <c r="M10" s="12"/>
      <c r="N10" s="12"/>
      <c r="R10" s="13"/>
      <c r="S10" s="13"/>
      <c r="T10" s="13"/>
      <c r="U10" s="13"/>
    </row>
    <row r="11">
      <c r="K11" s="12"/>
      <c r="L11" s="12"/>
      <c r="M11" s="12"/>
      <c r="N11" s="12"/>
      <c r="R11" s="13"/>
      <c r="S11" s="13"/>
      <c r="T11" s="13"/>
      <c r="U11" s="13"/>
    </row>
    <row r="12">
      <c r="K12" s="12"/>
      <c r="L12" s="12"/>
      <c r="M12" s="12"/>
      <c r="N12" s="12"/>
      <c r="R12" s="13"/>
      <c r="S12" s="13"/>
      <c r="T12" s="13"/>
      <c r="U12" s="13"/>
    </row>
    <row r="13">
      <c r="K13" s="12"/>
      <c r="L13" s="12"/>
      <c r="M13" s="12"/>
      <c r="N13" s="12"/>
      <c r="R13" s="13"/>
      <c r="S13" s="13"/>
      <c r="T13" s="13"/>
      <c r="U13" s="13"/>
    </row>
    <row r="14">
      <c r="K14" s="12"/>
      <c r="L14" s="12"/>
      <c r="M14" s="12"/>
      <c r="N14" s="12"/>
      <c r="R14" s="13"/>
      <c r="S14" s="13"/>
      <c r="T14" s="13"/>
      <c r="U14" s="13"/>
    </row>
    <row r="15">
      <c r="K15" s="12"/>
      <c r="L15" s="12"/>
      <c r="M15" s="12"/>
      <c r="N15" s="12"/>
      <c r="R15" s="13"/>
      <c r="S15" s="13"/>
      <c r="T15" s="13"/>
      <c r="U15" s="13"/>
    </row>
    <row r="16">
      <c r="K16" s="12"/>
      <c r="L16" s="12"/>
      <c r="M16" s="12"/>
      <c r="N16" s="12"/>
      <c r="R16" s="13"/>
      <c r="S16" s="13"/>
      <c r="T16" s="13"/>
      <c r="U16" s="13"/>
    </row>
    <row r="17">
      <c r="K17" s="12"/>
      <c r="L17" s="12"/>
      <c r="M17" s="12"/>
      <c r="N17" s="12"/>
      <c r="R17" s="13"/>
      <c r="S17" s="13"/>
      <c r="T17" s="13"/>
      <c r="U17" s="13"/>
    </row>
    <row r="18">
      <c r="K18" s="12"/>
      <c r="L18" s="12"/>
      <c r="M18" s="12"/>
      <c r="N18" s="12"/>
      <c r="R18" s="13"/>
      <c r="S18" s="13"/>
      <c r="T18" s="13"/>
      <c r="U18" s="13"/>
    </row>
    <row r="19">
      <c r="K19" s="12"/>
      <c r="L19" s="12"/>
      <c r="M19" s="12"/>
      <c r="N19" s="12"/>
      <c r="R19" s="13"/>
      <c r="S19" s="13"/>
      <c r="T19" s="13"/>
      <c r="U19" s="13"/>
    </row>
    <row r="20">
      <c r="K20" s="12"/>
      <c r="L20" s="12"/>
      <c r="M20" s="12"/>
      <c r="N20" s="12"/>
      <c r="R20" s="13"/>
      <c r="S20" s="13"/>
      <c r="T20" s="13"/>
      <c r="U20" s="13"/>
    </row>
    <row r="21">
      <c r="K21" s="12"/>
      <c r="L21" s="12"/>
      <c r="M21" s="12"/>
      <c r="N21" s="12"/>
      <c r="R21" s="13"/>
      <c r="S21" s="13"/>
      <c r="T21" s="13"/>
      <c r="U21" s="13"/>
    </row>
    <row r="22">
      <c r="K22" s="12"/>
      <c r="L22" s="12"/>
      <c r="M22" s="12"/>
      <c r="N22" s="12"/>
      <c r="R22" s="13"/>
      <c r="S22" s="13"/>
      <c r="T22" s="13"/>
      <c r="U22" s="13"/>
    </row>
    <row r="23">
      <c r="K23" s="12"/>
      <c r="L23" s="12"/>
      <c r="M23" s="12"/>
      <c r="N23" s="12"/>
      <c r="R23" s="13"/>
      <c r="S23" s="13"/>
      <c r="T23" s="13"/>
      <c r="U23" s="13"/>
    </row>
    <row r="24">
      <c r="K24" s="12"/>
      <c r="L24" s="12"/>
      <c r="M24" s="12"/>
      <c r="N24" s="12"/>
      <c r="R24" s="13"/>
      <c r="S24" s="13"/>
      <c r="T24" s="13"/>
      <c r="U24" s="13"/>
    </row>
    <row r="25">
      <c r="K25" s="12"/>
      <c r="L25" s="12"/>
      <c r="M25" s="12"/>
      <c r="N25" s="12"/>
      <c r="R25" s="13"/>
      <c r="S25" s="13"/>
      <c r="T25" s="13"/>
      <c r="U25" s="13"/>
    </row>
    <row r="26">
      <c r="K26" s="12"/>
      <c r="L26" s="12"/>
      <c r="M26" s="12"/>
      <c r="N26" s="12"/>
      <c r="R26" s="13"/>
      <c r="S26" s="13"/>
      <c r="T26" s="13"/>
      <c r="U26" s="13"/>
    </row>
    <row r="27">
      <c r="K27" s="12"/>
      <c r="L27" s="12"/>
      <c r="M27" s="12"/>
      <c r="N27" s="12"/>
      <c r="R27" s="13"/>
      <c r="S27" s="13"/>
      <c r="T27" s="13"/>
      <c r="U27" s="13"/>
    </row>
    <row r="28">
      <c r="K28" s="12"/>
      <c r="L28" s="12"/>
      <c r="M28" s="12"/>
      <c r="N28" s="12"/>
      <c r="R28" s="13"/>
      <c r="S28" s="13"/>
      <c r="T28" s="13"/>
      <c r="U28" s="13"/>
    </row>
    <row r="29">
      <c r="K29" s="12"/>
      <c r="L29" s="12"/>
      <c r="M29" s="12"/>
      <c r="N29" s="12"/>
      <c r="R29" s="13"/>
      <c r="S29" s="13"/>
      <c r="T29" s="13"/>
      <c r="U29" s="13"/>
    </row>
    <row r="30">
      <c r="K30" s="12"/>
      <c r="L30" s="12"/>
      <c r="M30" s="12"/>
      <c r="N30" s="12"/>
      <c r="R30" s="13"/>
      <c r="S30" s="13"/>
      <c r="T30" s="13"/>
      <c r="U30" s="13"/>
    </row>
    <row r="31">
      <c r="K31" s="12"/>
      <c r="L31" s="12"/>
      <c r="M31" s="12"/>
      <c r="N31" s="12"/>
      <c r="R31" s="13"/>
      <c r="S31" s="13"/>
      <c r="T31" s="13"/>
      <c r="U31" s="13"/>
    </row>
    <row r="32">
      <c r="K32" s="12"/>
      <c r="L32" s="12"/>
      <c r="M32" s="12"/>
      <c r="N32" s="12"/>
      <c r="R32" s="13"/>
      <c r="S32" s="13"/>
      <c r="T32" s="13"/>
      <c r="U32" s="13"/>
    </row>
    <row r="33">
      <c r="K33" s="12"/>
      <c r="L33" s="12"/>
      <c r="M33" s="12"/>
      <c r="N33" s="12"/>
      <c r="R33" s="13"/>
      <c r="S33" s="13"/>
      <c r="T33" s="13"/>
      <c r="U33" s="13"/>
    </row>
    <row r="34">
      <c r="K34" s="12"/>
      <c r="L34" s="12"/>
      <c r="M34" s="12"/>
      <c r="N34" s="12"/>
      <c r="R34" s="13"/>
      <c r="S34" s="13"/>
      <c r="T34" s="13"/>
      <c r="U34" s="13"/>
    </row>
    <row r="35">
      <c r="K35" s="12"/>
      <c r="L35" s="12"/>
      <c r="M35" s="12"/>
      <c r="N35" s="12"/>
      <c r="R35" s="13"/>
      <c r="S35" s="13"/>
      <c r="T35" s="13"/>
      <c r="U35" s="13"/>
    </row>
    <row r="36">
      <c r="K36" s="12"/>
      <c r="L36" s="12"/>
      <c r="M36" s="12"/>
      <c r="N36" s="12"/>
      <c r="R36" s="13"/>
      <c r="S36" s="13"/>
      <c r="T36" s="13"/>
      <c r="U36" s="13"/>
    </row>
    <row r="37">
      <c r="K37" s="12"/>
      <c r="L37" s="12"/>
      <c r="M37" s="12"/>
      <c r="N37" s="12"/>
      <c r="R37" s="13"/>
      <c r="S37" s="13"/>
      <c r="T37" s="13"/>
      <c r="U37" s="13"/>
    </row>
    <row r="38">
      <c r="K38" s="12"/>
      <c r="L38" s="12"/>
      <c r="M38" s="12"/>
      <c r="N38" s="12"/>
      <c r="R38" s="13"/>
      <c r="S38" s="13"/>
      <c r="T38" s="13"/>
      <c r="U38" s="13"/>
    </row>
    <row r="39">
      <c r="K39" s="12"/>
      <c r="L39" s="12"/>
      <c r="M39" s="12"/>
      <c r="N39" s="12"/>
      <c r="R39" s="13"/>
      <c r="S39" s="13"/>
      <c r="T39" s="13"/>
      <c r="U39" s="13"/>
    </row>
    <row r="40">
      <c r="K40" s="12"/>
      <c r="L40" s="12"/>
      <c r="M40" s="12"/>
      <c r="N40" s="12"/>
      <c r="R40" s="13"/>
      <c r="S40" s="13"/>
      <c r="T40" s="13"/>
      <c r="U40" s="13"/>
    </row>
    <row r="41">
      <c r="K41" s="12"/>
      <c r="L41" s="12"/>
      <c r="M41" s="12"/>
      <c r="N41" s="12"/>
      <c r="R41" s="13"/>
      <c r="S41" s="13"/>
      <c r="T41" s="13"/>
      <c r="U41" s="13"/>
    </row>
    <row r="42">
      <c r="K42" s="12"/>
      <c r="L42" s="12"/>
      <c r="M42" s="12"/>
      <c r="N42" s="12"/>
      <c r="R42" s="13"/>
      <c r="S42" s="13"/>
      <c r="T42" s="13"/>
      <c r="U42" s="13"/>
    </row>
    <row r="43">
      <c r="K43" s="12"/>
      <c r="L43" s="12"/>
      <c r="M43" s="12"/>
      <c r="N43" s="12"/>
      <c r="R43" s="13"/>
      <c r="S43" s="13"/>
      <c r="T43" s="13"/>
      <c r="U43" s="13"/>
    </row>
    <row r="44">
      <c r="K44" s="12"/>
      <c r="L44" s="12"/>
      <c r="M44" s="12"/>
      <c r="N44" s="12"/>
      <c r="R44" s="13"/>
      <c r="S44" s="13"/>
      <c r="T44" s="13"/>
      <c r="U44" s="13"/>
    </row>
    <row r="45">
      <c r="K45" s="12"/>
      <c r="L45" s="12"/>
      <c r="M45" s="12"/>
      <c r="N45" s="12"/>
      <c r="R45" s="13"/>
      <c r="S45" s="13"/>
      <c r="T45" s="13"/>
      <c r="U45" s="13"/>
    </row>
    <row r="46">
      <c r="K46" s="12"/>
      <c r="L46" s="12"/>
      <c r="M46" s="12"/>
      <c r="N46" s="12"/>
      <c r="R46" s="13"/>
      <c r="S46" s="13"/>
      <c r="T46" s="13"/>
      <c r="U46" s="13"/>
    </row>
    <row r="47">
      <c r="K47" s="12"/>
      <c r="L47" s="12"/>
      <c r="M47" s="12"/>
      <c r="N47" s="12"/>
      <c r="R47" s="13"/>
      <c r="S47" s="13"/>
      <c r="T47" s="13"/>
      <c r="U47" s="13"/>
    </row>
    <row r="48">
      <c r="K48" s="12"/>
      <c r="L48" s="12"/>
      <c r="M48" s="12"/>
      <c r="N48" s="12"/>
      <c r="R48" s="13"/>
      <c r="S48" s="13"/>
      <c r="T48" s="13"/>
      <c r="U48" s="13"/>
    </row>
    <row r="49">
      <c r="K49" s="12"/>
      <c r="L49" s="12"/>
      <c r="M49" s="12"/>
      <c r="N49" s="12"/>
      <c r="R49" s="13"/>
      <c r="S49" s="13"/>
      <c r="T49" s="13"/>
      <c r="U49" s="13"/>
    </row>
    <row r="50">
      <c r="K50" s="12"/>
      <c r="L50" s="12"/>
      <c r="M50" s="12"/>
      <c r="N50" s="12"/>
      <c r="R50" s="13"/>
      <c r="S50" s="13"/>
      <c r="T50" s="13"/>
      <c r="U50" s="13"/>
    </row>
    <row r="51">
      <c r="K51" s="12"/>
      <c r="L51" s="12"/>
      <c r="M51" s="12"/>
      <c r="N51" s="12"/>
      <c r="R51" s="13"/>
      <c r="S51" s="13"/>
      <c r="T51" s="13"/>
      <c r="U51" s="13"/>
    </row>
    <row r="52">
      <c r="K52" s="12"/>
      <c r="L52" s="12"/>
      <c r="M52" s="12"/>
      <c r="N52" s="12"/>
      <c r="R52" s="13"/>
      <c r="S52" s="13"/>
      <c r="T52" s="13"/>
      <c r="U52" s="13"/>
    </row>
    <row r="53">
      <c r="K53" s="12"/>
      <c r="L53" s="12"/>
      <c r="M53" s="12"/>
      <c r="N53" s="12"/>
      <c r="R53" s="13"/>
      <c r="S53" s="13"/>
      <c r="T53" s="13"/>
      <c r="U53" s="13"/>
    </row>
    <row r="54">
      <c r="K54" s="12"/>
      <c r="L54" s="12"/>
      <c r="M54" s="12"/>
      <c r="N54" s="12"/>
      <c r="R54" s="13"/>
      <c r="S54" s="13"/>
      <c r="T54" s="13"/>
      <c r="U54" s="13"/>
    </row>
    <row r="55">
      <c r="K55" s="12"/>
      <c r="L55" s="12"/>
      <c r="M55" s="12"/>
      <c r="N55" s="12"/>
      <c r="R55" s="13"/>
      <c r="S55" s="13"/>
      <c r="T55" s="13"/>
      <c r="U55" s="13"/>
    </row>
    <row r="56">
      <c r="K56" s="12"/>
      <c r="L56" s="12"/>
      <c r="M56" s="12"/>
      <c r="N56" s="12"/>
      <c r="R56" s="13"/>
      <c r="S56" s="13"/>
      <c r="T56" s="13"/>
      <c r="U56" s="13"/>
    </row>
    <row r="57">
      <c r="K57" s="12"/>
      <c r="L57" s="12"/>
      <c r="M57" s="12"/>
      <c r="N57" s="12"/>
      <c r="R57" s="13"/>
      <c r="S57" s="13"/>
      <c r="T57" s="13"/>
      <c r="U57" s="13"/>
    </row>
    <row r="58">
      <c r="K58" s="12"/>
      <c r="L58" s="12"/>
      <c r="M58" s="12"/>
      <c r="N58" s="12"/>
      <c r="R58" s="13"/>
      <c r="S58" s="13"/>
      <c r="T58" s="13"/>
      <c r="U58" s="13"/>
    </row>
    <row r="59">
      <c r="K59" s="12"/>
      <c r="L59" s="12"/>
      <c r="M59" s="12"/>
      <c r="N59" s="12"/>
      <c r="R59" s="13"/>
      <c r="S59" s="13"/>
      <c r="T59" s="13"/>
      <c r="U59" s="13"/>
    </row>
    <row r="60">
      <c r="K60" s="12"/>
      <c r="L60" s="12"/>
      <c r="M60" s="12"/>
      <c r="N60" s="12"/>
      <c r="R60" s="13"/>
      <c r="S60" s="13"/>
      <c r="T60" s="13"/>
      <c r="U60" s="13"/>
    </row>
    <row r="61">
      <c r="K61" s="12"/>
      <c r="L61" s="12"/>
      <c r="M61" s="12"/>
      <c r="N61" s="12"/>
      <c r="R61" s="13"/>
      <c r="S61" s="13"/>
      <c r="T61" s="13"/>
      <c r="U61" s="13"/>
    </row>
    <row r="62">
      <c r="K62" s="12"/>
      <c r="L62" s="12"/>
      <c r="M62" s="12"/>
      <c r="N62" s="12"/>
      <c r="R62" s="13"/>
      <c r="S62" s="13"/>
      <c r="T62" s="13"/>
      <c r="U62" s="13"/>
    </row>
    <row r="63">
      <c r="K63" s="12"/>
      <c r="L63" s="12"/>
      <c r="M63" s="12"/>
      <c r="N63" s="12"/>
      <c r="R63" s="13"/>
      <c r="S63" s="13"/>
      <c r="T63" s="13"/>
      <c r="U63" s="13"/>
    </row>
    <row r="64">
      <c r="K64" s="12"/>
      <c r="L64" s="12"/>
      <c r="M64" s="12"/>
      <c r="N64" s="12"/>
      <c r="R64" s="13"/>
      <c r="S64" s="13"/>
      <c r="T64" s="13"/>
      <c r="U64" s="13"/>
    </row>
    <row r="65">
      <c r="K65" s="12"/>
      <c r="L65" s="12"/>
      <c r="M65" s="12"/>
      <c r="N65" s="12"/>
      <c r="R65" s="13"/>
      <c r="S65" s="13"/>
      <c r="T65" s="13"/>
      <c r="U65" s="13"/>
    </row>
    <row r="66">
      <c r="K66" s="12"/>
      <c r="L66" s="12"/>
      <c r="M66" s="12"/>
      <c r="N66" s="12"/>
      <c r="R66" s="13"/>
      <c r="S66" s="13"/>
      <c r="T66" s="13"/>
      <c r="U66" s="13"/>
    </row>
    <row r="67">
      <c r="K67" s="12"/>
      <c r="L67" s="12"/>
      <c r="M67" s="12"/>
      <c r="N67" s="12"/>
      <c r="R67" s="13"/>
      <c r="S67" s="13"/>
      <c r="T67" s="13"/>
      <c r="U67" s="13"/>
    </row>
    <row r="68">
      <c r="K68" s="12"/>
      <c r="L68" s="12"/>
      <c r="M68" s="12"/>
      <c r="N68" s="12"/>
      <c r="R68" s="13"/>
      <c r="S68" s="13"/>
      <c r="T68" s="13"/>
      <c r="U68" s="13"/>
    </row>
    <row r="69">
      <c r="K69" s="12"/>
      <c r="L69" s="12"/>
      <c r="M69" s="12"/>
      <c r="N69" s="12"/>
      <c r="R69" s="13"/>
      <c r="S69" s="13"/>
      <c r="T69" s="13"/>
      <c r="U69" s="13"/>
    </row>
    <row r="70">
      <c r="K70" s="12"/>
      <c r="L70" s="12"/>
      <c r="M70" s="12"/>
      <c r="N70" s="12"/>
      <c r="R70" s="13"/>
      <c r="S70" s="13"/>
      <c r="T70" s="13"/>
      <c r="U70" s="13"/>
    </row>
    <row r="71">
      <c r="K71" s="12"/>
      <c r="L71" s="12"/>
      <c r="M71" s="12"/>
      <c r="N71" s="12"/>
      <c r="R71" s="13"/>
      <c r="S71" s="13"/>
      <c r="T71" s="13"/>
      <c r="U71" s="13"/>
    </row>
    <row r="72">
      <c r="K72" s="12"/>
      <c r="L72" s="12"/>
      <c r="M72" s="12"/>
      <c r="N72" s="12"/>
      <c r="R72" s="13"/>
      <c r="S72" s="13"/>
      <c r="T72" s="13"/>
      <c r="U72" s="13"/>
    </row>
    <row r="73">
      <c r="K73" s="12"/>
      <c r="L73" s="12"/>
      <c r="M73" s="12"/>
      <c r="N73" s="12"/>
      <c r="R73" s="13"/>
      <c r="S73" s="13"/>
      <c r="T73" s="13"/>
      <c r="U73" s="13"/>
    </row>
    <row r="74">
      <c r="K74" s="12"/>
      <c r="L74" s="12"/>
      <c r="M74" s="12"/>
      <c r="N74" s="12"/>
      <c r="R74" s="13"/>
      <c r="S74" s="13"/>
      <c r="T74" s="13"/>
      <c r="U74" s="13"/>
    </row>
    <row r="75">
      <c r="K75" s="12"/>
      <c r="L75" s="12"/>
      <c r="M75" s="12"/>
      <c r="N75" s="12"/>
      <c r="R75" s="13"/>
      <c r="S75" s="13"/>
      <c r="T75" s="13"/>
      <c r="U75" s="13"/>
    </row>
    <row r="76">
      <c r="K76" s="12"/>
      <c r="L76" s="12"/>
      <c r="M76" s="12"/>
      <c r="N76" s="12"/>
      <c r="R76" s="13"/>
      <c r="S76" s="13"/>
      <c r="T76" s="13"/>
      <c r="U76" s="13"/>
    </row>
    <row r="77">
      <c r="K77" s="12"/>
      <c r="L77" s="12"/>
      <c r="M77" s="12"/>
      <c r="N77" s="12"/>
      <c r="R77" s="13"/>
      <c r="S77" s="13"/>
      <c r="T77" s="13"/>
      <c r="U77" s="13"/>
    </row>
    <row r="78">
      <c r="K78" s="12"/>
      <c r="L78" s="12"/>
      <c r="M78" s="12"/>
      <c r="N78" s="12"/>
      <c r="R78" s="13"/>
      <c r="S78" s="13"/>
      <c r="T78" s="13"/>
      <c r="U78" s="13"/>
    </row>
    <row r="79">
      <c r="K79" s="12"/>
      <c r="L79" s="12"/>
      <c r="M79" s="12"/>
      <c r="N79" s="12"/>
      <c r="R79" s="13"/>
      <c r="S79" s="13"/>
      <c r="T79" s="13"/>
      <c r="U79" s="13"/>
    </row>
    <row r="80">
      <c r="K80" s="12"/>
      <c r="L80" s="12"/>
      <c r="M80" s="12"/>
      <c r="N80" s="12"/>
      <c r="R80" s="13"/>
      <c r="S80" s="13"/>
      <c r="T80" s="13"/>
      <c r="U80" s="13"/>
    </row>
    <row r="81">
      <c r="K81" s="12"/>
      <c r="L81" s="12"/>
      <c r="M81" s="12"/>
      <c r="N81" s="12"/>
      <c r="R81" s="13"/>
      <c r="S81" s="13"/>
      <c r="T81" s="13"/>
      <c r="U81" s="13"/>
    </row>
    <row r="82">
      <c r="K82" s="12"/>
      <c r="L82" s="12"/>
      <c r="M82" s="12"/>
      <c r="N82" s="12"/>
      <c r="R82" s="13"/>
      <c r="S82" s="13"/>
      <c r="T82" s="13"/>
      <c r="U82" s="13"/>
    </row>
    <row r="83">
      <c r="K83" s="12"/>
      <c r="L83" s="12"/>
      <c r="M83" s="12"/>
      <c r="N83" s="12"/>
      <c r="R83" s="13"/>
      <c r="S83" s="13"/>
      <c r="T83" s="13"/>
      <c r="U83" s="13"/>
    </row>
    <row r="84">
      <c r="K84" s="12"/>
      <c r="L84" s="12"/>
      <c r="M84" s="12"/>
      <c r="N84" s="12"/>
      <c r="R84" s="13"/>
      <c r="S84" s="13"/>
      <c r="T84" s="13"/>
      <c r="U84" s="13"/>
    </row>
    <row r="85">
      <c r="K85" s="12"/>
      <c r="L85" s="12"/>
      <c r="M85" s="12"/>
      <c r="N85" s="12"/>
      <c r="R85" s="13"/>
      <c r="S85" s="13"/>
      <c r="T85" s="13"/>
      <c r="U85" s="13"/>
    </row>
    <row r="86">
      <c r="K86" s="12"/>
      <c r="L86" s="12"/>
      <c r="M86" s="12"/>
      <c r="N86" s="12"/>
      <c r="R86" s="13"/>
      <c r="S86" s="13"/>
      <c r="T86" s="13"/>
      <c r="U86" s="13"/>
    </row>
    <row r="87">
      <c r="K87" s="12"/>
      <c r="L87" s="12"/>
      <c r="M87" s="12"/>
      <c r="N87" s="12"/>
      <c r="R87" s="13"/>
      <c r="S87" s="13"/>
      <c r="T87" s="13"/>
      <c r="U87" s="13"/>
    </row>
    <row r="88">
      <c r="K88" s="12"/>
      <c r="L88" s="12"/>
      <c r="M88" s="12"/>
      <c r="N88" s="12"/>
      <c r="R88" s="13"/>
      <c r="S88" s="13"/>
      <c r="T88" s="13"/>
      <c r="U88" s="13"/>
    </row>
    <row r="89">
      <c r="K89" s="12"/>
      <c r="L89" s="12"/>
      <c r="M89" s="12"/>
      <c r="N89" s="12"/>
      <c r="R89" s="13"/>
      <c r="S89" s="13"/>
      <c r="T89" s="13"/>
      <c r="U89" s="13"/>
    </row>
    <row r="90">
      <c r="K90" s="12"/>
      <c r="L90" s="12"/>
      <c r="M90" s="12"/>
      <c r="N90" s="12"/>
      <c r="R90" s="13"/>
      <c r="S90" s="13"/>
      <c r="T90" s="13"/>
      <c r="U90" s="13"/>
    </row>
    <row r="91">
      <c r="K91" s="12"/>
      <c r="L91" s="12"/>
      <c r="M91" s="12"/>
      <c r="N91" s="12"/>
      <c r="R91" s="13"/>
      <c r="S91" s="13"/>
      <c r="T91" s="13"/>
      <c r="U91" s="13"/>
    </row>
    <row r="92">
      <c r="K92" s="12"/>
      <c r="L92" s="12"/>
      <c r="M92" s="12"/>
      <c r="N92" s="12"/>
      <c r="R92" s="13"/>
      <c r="S92" s="13"/>
      <c r="T92" s="13"/>
      <c r="U92" s="13"/>
    </row>
    <row r="93">
      <c r="K93" s="12"/>
      <c r="L93" s="12"/>
      <c r="M93" s="12"/>
      <c r="N93" s="12"/>
      <c r="R93" s="13"/>
      <c r="S93" s="13"/>
      <c r="T93" s="13"/>
      <c r="U93" s="13"/>
    </row>
    <row r="94">
      <c r="K94" s="12"/>
      <c r="L94" s="12"/>
      <c r="M94" s="12"/>
      <c r="N94" s="12"/>
      <c r="R94" s="13"/>
      <c r="S94" s="13"/>
      <c r="T94" s="13"/>
      <c r="U94" s="13"/>
    </row>
    <row r="95">
      <c r="K95" s="12"/>
      <c r="L95" s="12"/>
      <c r="M95" s="12"/>
      <c r="N95" s="12"/>
      <c r="R95" s="13"/>
      <c r="S95" s="13"/>
      <c r="T95" s="13"/>
      <c r="U95" s="13"/>
    </row>
    <row r="96">
      <c r="K96" s="12"/>
      <c r="L96" s="12"/>
      <c r="M96" s="12"/>
      <c r="N96" s="12"/>
      <c r="R96" s="13"/>
      <c r="S96" s="13"/>
      <c r="T96" s="13"/>
      <c r="U96" s="13"/>
    </row>
    <row r="97">
      <c r="K97" s="12"/>
      <c r="L97" s="12"/>
      <c r="M97" s="12"/>
      <c r="N97" s="12"/>
      <c r="R97" s="13"/>
      <c r="S97" s="13"/>
      <c r="T97" s="13"/>
      <c r="U97" s="13"/>
    </row>
    <row r="98">
      <c r="K98" s="12"/>
      <c r="L98" s="12"/>
      <c r="M98" s="12"/>
      <c r="N98" s="12"/>
      <c r="R98" s="13"/>
      <c r="S98" s="13"/>
      <c r="T98" s="13"/>
      <c r="U98" s="13"/>
    </row>
    <row r="99">
      <c r="K99" s="12"/>
      <c r="L99" s="12"/>
      <c r="M99" s="12"/>
      <c r="N99" s="12"/>
      <c r="R99" s="13"/>
      <c r="S99" s="13"/>
      <c r="T99" s="13"/>
      <c r="U99" s="13"/>
    </row>
    <row r="100">
      <c r="K100" s="12"/>
      <c r="L100" s="12"/>
      <c r="M100" s="12"/>
      <c r="N100" s="12"/>
      <c r="R100" s="13"/>
      <c r="S100" s="13"/>
      <c r="T100" s="13"/>
      <c r="U100" s="13"/>
    </row>
    <row r="101">
      <c r="K101" s="12"/>
      <c r="L101" s="12"/>
      <c r="M101" s="12"/>
      <c r="N101" s="12"/>
      <c r="R101" s="13"/>
      <c r="S101" s="13"/>
      <c r="T101" s="13"/>
      <c r="U101" s="13"/>
    </row>
    <row r="102">
      <c r="K102" s="12"/>
      <c r="L102" s="12"/>
      <c r="M102" s="12"/>
      <c r="N102" s="12"/>
      <c r="R102" s="13"/>
      <c r="S102" s="13"/>
      <c r="T102" s="13"/>
      <c r="U102" s="13"/>
    </row>
    <row r="103">
      <c r="K103" s="12"/>
      <c r="L103" s="12"/>
      <c r="M103" s="12"/>
      <c r="N103" s="12"/>
      <c r="R103" s="13"/>
      <c r="S103" s="13"/>
      <c r="T103" s="13"/>
      <c r="U103" s="13"/>
    </row>
    <row r="104">
      <c r="K104" s="12"/>
      <c r="L104" s="12"/>
      <c r="M104" s="12"/>
      <c r="N104" s="12"/>
      <c r="R104" s="13"/>
      <c r="S104" s="13"/>
      <c r="T104" s="13"/>
      <c r="U104" s="13"/>
    </row>
    <row r="105">
      <c r="K105" s="12"/>
      <c r="L105" s="12"/>
      <c r="M105" s="12"/>
      <c r="N105" s="12"/>
      <c r="R105" s="13"/>
      <c r="S105" s="13"/>
      <c r="T105" s="13"/>
      <c r="U105" s="13"/>
    </row>
    <row r="106">
      <c r="K106" s="12"/>
      <c r="L106" s="12"/>
      <c r="M106" s="12"/>
      <c r="N106" s="12"/>
      <c r="R106" s="13"/>
      <c r="S106" s="13"/>
      <c r="T106" s="13"/>
      <c r="U106" s="13"/>
    </row>
    <row r="107">
      <c r="K107" s="12"/>
      <c r="L107" s="12"/>
      <c r="M107" s="12"/>
      <c r="N107" s="12"/>
      <c r="R107" s="13"/>
      <c r="S107" s="13"/>
      <c r="T107" s="13"/>
      <c r="U107" s="13"/>
    </row>
    <row r="108">
      <c r="K108" s="12"/>
      <c r="L108" s="12"/>
      <c r="M108" s="12"/>
      <c r="N108" s="12"/>
      <c r="R108" s="13"/>
      <c r="S108" s="13"/>
      <c r="T108" s="13"/>
      <c r="U108" s="13"/>
    </row>
    <row r="109">
      <c r="K109" s="12"/>
      <c r="L109" s="12"/>
      <c r="M109" s="12"/>
      <c r="N109" s="12"/>
      <c r="R109" s="13"/>
      <c r="S109" s="13"/>
      <c r="T109" s="13"/>
      <c r="U109" s="13"/>
    </row>
    <row r="110">
      <c r="K110" s="12"/>
      <c r="L110" s="12"/>
      <c r="M110" s="12"/>
      <c r="N110" s="12"/>
      <c r="R110" s="13"/>
      <c r="S110" s="13"/>
      <c r="T110" s="13"/>
      <c r="U110" s="13"/>
    </row>
    <row r="111">
      <c r="K111" s="12"/>
      <c r="L111" s="12"/>
      <c r="M111" s="12"/>
      <c r="N111" s="12"/>
      <c r="R111" s="13"/>
      <c r="S111" s="13"/>
      <c r="T111" s="13"/>
      <c r="U111" s="13"/>
    </row>
    <row r="112">
      <c r="K112" s="12"/>
      <c r="L112" s="12"/>
      <c r="M112" s="12"/>
      <c r="N112" s="12"/>
      <c r="R112" s="13"/>
      <c r="S112" s="13"/>
      <c r="T112" s="13"/>
      <c r="U112" s="13"/>
    </row>
    <row r="113">
      <c r="K113" s="12"/>
      <c r="L113" s="12"/>
      <c r="M113" s="12"/>
      <c r="N113" s="12"/>
      <c r="R113" s="13"/>
      <c r="S113" s="13"/>
      <c r="T113" s="13"/>
      <c r="U113" s="13"/>
    </row>
    <row r="114">
      <c r="K114" s="12"/>
      <c r="L114" s="12"/>
      <c r="M114" s="12"/>
      <c r="N114" s="12"/>
      <c r="R114" s="13"/>
      <c r="S114" s="13"/>
      <c r="T114" s="13"/>
      <c r="U114" s="13"/>
    </row>
    <row r="115">
      <c r="K115" s="12"/>
      <c r="L115" s="12"/>
      <c r="M115" s="12"/>
      <c r="N115" s="12"/>
      <c r="R115" s="13"/>
      <c r="S115" s="13"/>
      <c r="T115" s="13"/>
      <c r="U115" s="13"/>
    </row>
    <row r="116">
      <c r="K116" s="12"/>
      <c r="L116" s="12"/>
      <c r="M116" s="12"/>
      <c r="N116" s="12"/>
      <c r="R116" s="13"/>
      <c r="S116" s="13"/>
      <c r="T116" s="13"/>
      <c r="U116" s="13"/>
    </row>
    <row r="117">
      <c r="K117" s="12"/>
      <c r="L117" s="12"/>
      <c r="M117" s="12"/>
      <c r="N117" s="12"/>
      <c r="R117" s="13"/>
      <c r="S117" s="13"/>
      <c r="T117" s="13"/>
      <c r="U117" s="13"/>
    </row>
    <row r="118">
      <c r="K118" s="12"/>
      <c r="L118" s="12"/>
      <c r="M118" s="12"/>
      <c r="N118" s="12"/>
      <c r="R118" s="13"/>
      <c r="S118" s="13"/>
      <c r="T118" s="13"/>
      <c r="U118" s="13"/>
    </row>
    <row r="119">
      <c r="K119" s="12"/>
      <c r="L119" s="12"/>
      <c r="M119" s="12"/>
      <c r="N119" s="12"/>
      <c r="R119" s="13"/>
      <c r="S119" s="13"/>
      <c r="T119" s="13"/>
      <c r="U119" s="13"/>
    </row>
    <row r="120">
      <c r="K120" s="12"/>
      <c r="L120" s="12"/>
      <c r="M120" s="12"/>
      <c r="N120" s="12"/>
      <c r="R120" s="13"/>
      <c r="S120" s="13"/>
      <c r="T120" s="13"/>
      <c r="U120" s="13"/>
    </row>
    <row r="121">
      <c r="K121" s="12"/>
      <c r="L121" s="12"/>
      <c r="M121" s="12"/>
      <c r="N121" s="12"/>
      <c r="R121" s="13"/>
      <c r="S121" s="13"/>
      <c r="T121" s="13"/>
      <c r="U121" s="13"/>
    </row>
    <row r="122">
      <c r="K122" s="12"/>
      <c r="L122" s="12"/>
      <c r="M122" s="12"/>
      <c r="N122" s="12"/>
      <c r="R122" s="13"/>
      <c r="S122" s="13"/>
      <c r="T122" s="13"/>
      <c r="U122" s="13"/>
    </row>
    <row r="123">
      <c r="K123" s="12"/>
      <c r="L123" s="12"/>
      <c r="M123" s="12"/>
      <c r="N123" s="12"/>
      <c r="R123" s="13"/>
      <c r="S123" s="13"/>
      <c r="T123" s="13"/>
      <c r="U123" s="13"/>
    </row>
    <row r="124">
      <c r="K124" s="12"/>
      <c r="L124" s="12"/>
      <c r="M124" s="12"/>
      <c r="N124" s="12"/>
      <c r="R124" s="13"/>
      <c r="S124" s="13"/>
      <c r="T124" s="13"/>
      <c r="U124" s="13"/>
    </row>
    <row r="125">
      <c r="K125" s="12"/>
      <c r="L125" s="12"/>
      <c r="M125" s="12"/>
      <c r="N125" s="12"/>
      <c r="R125" s="13"/>
      <c r="S125" s="13"/>
      <c r="T125" s="13"/>
      <c r="U125" s="13"/>
    </row>
    <row r="126">
      <c r="K126" s="12"/>
      <c r="L126" s="12"/>
      <c r="M126" s="12"/>
      <c r="N126" s="12"/>
      <c r="R126" s="13"/>
      <c r="S126" s="13"/>
      <c r="T126" s="13"/>
      <c r="U126" s="13"/>
    </row>
    <row r="127">
      <c r="K127" s="12"/>
      <c r="L127" s="12"/>
      <c r="M127" s="12"/>
      <c r="N127" s="12"/>
      <c r="R127" s="13"/>
      <c r="S127" s="13"/>
      <c r="T127" s="13"/>
      <c r="U127" s="13"/>
    </row>
    <row r="128">
      <c r="K128" s="12"/>
      <c r="L128" s="12"/>
      <c r="M128" s="12"/>
      <c r="N128" s="12"/>
      <c r="R128" s="13"/>
      <c r="S128" s="13"/>
      <c r="T128" s="13"/>
      <c r="U128" s="13"/>
    </row>
    <row r="129">
      <c r="K129" s="12"/>
      <c r="L129" s="12"/>
      <c r="M129" s="12"/>
      <c r="N129" s="12"/>
      <c r="R129" s="13"/>
      <c r="S129" s="13"/>
      <c r="T129" s="13"/>
      <c r="U129" s="13"/>
    </row>
    <row r="130">
      <c r="K130" s="12"/>
      <c r="L130" s="12"/>
      <c r="M130" s="12"/>
      <c r="N130" s="12"/>
      <c r="R130" s="13"/>
      <c r="S130" s="13"/>
      <c r="T130" s="13"/>
      <c r="U130" s="13"/>
    </row>
    <row r="131">
      <c r="K131" s="12"/>
      <c r="L131" s="12"/>
      <c r="M131" s="12"/>
      <c r="N131" s="12"/>
      <c r="R131" s="13"/>
      <c r="S131" s="13"/>
      <c r="T131" s="13"/>
      <c r="U131" s="13"/>
    </row>
    <row r="132">
      <c r="K132" s="12"/>
      <c r="L132" s="12"/>
      <c r="M132" s="12"/>
      <c r="N132" s="12"/>
      <c r="R132" s="13"/>
      <c r="S132" s="13"/>
      <c r="T132" s="13"/>
      <c r="U132" s="13"/>
    </row>
    <row r="133">
      <c r="K133" s="12"/>
      <c r="L133" s="12"/>
      <c r="M133" s="12"/>
      <c r="N133" s="12"/>
      <c r="R133" s="13"/>
      <c r="S133" s="13"/>
      <c r="T133" s="13"/>
      <c r="U133" s="13"/>
    </row>
    <row r="134">
      <c r="K134" s="12"/>
      <c r="L134" s="12"/>
      <c r="M134" s="12"/>
      <c r="N134" s="12"/>
      <c r="R134" s="13"/>
      <c r="S134" s="13"/>
      <c r="T134" s="13"/>
      <c r="U134" s="13"/>
    </row>
    <row r="135">
      <c r="K135" s="12"/>
      <c r="L135" s="12"/>
      <c r="M135" s="12"/>
      <c r="N135" s="12"/>
      <c r="R135" s="13"/>
      <c r="S135" s="13"/>
      <c r="T135" s="13"/>
      <c r="U135" s="13"/>
    </row>
    <row r="136">
      <c r="K136" s="12"/>
      <c r="L136" s="12"/>
      <c r="M136" s="12"/>
      <c r="N136" s="12"/>
      <c r="R136" s="13"/>
      <c r="S136" s="13"/>
      <c r="T136" s="13"/>
      <c r="U136" s="13"/>
    </row>
    <row r="137">
      <c r="K137" s="12"/>
      <c r="L137" s="12"/>
      <c r="M137" s="12"/>
      <c r="N137" s="12"/>
      <c r="R137" s="13"/>
      <c r="S137" s="13"/>
      <c r="T137" s="13"/>
      <c r="U137" s="13"/>
    </row>
    <row r="138">
      <c r="K138" s="12"/>
      <c r="L138" s="12"/>
      <c r="M138" s="12"/>
      <c r="N138" s="12"/>
      <c r="R138" s="13"/>
      <c r="S138" s="13"/>
      <c r="T138" s="13"/>
      <c r="U138" s="13"/>
    </row>
    <row r="139">
      <c r="K139" s="12"/>
      <c r="L139" s="12"/>
      <c r="M139" s="12"/>
      <c r="N139" s="12"/>
      <c r="R139" s="13"/>
      <c r="S139" s="13"/>
      <c r="T139" s="13"/>
      <c r="U139" s="13"/>
    </row>
    <row r="140">
      <c r="K140" s="12"/>
      <c r="L140" s="12"/>
      <c r="M140" s="12"/>
      <c r="N140" s="12"/>
      <c r="R140" s="13"/>
      <c r="S140" s="13"/>
      <c r="T140" s="13"/>
      <c r="U140" s="13"/>
    </row>
    <row r="141">
      <c r="K141" s="12"/>
      <c r="L141" s="12"/>
      <c r="M141" s="12"/>
      <c r="N141" s="12"/>
      <c r="R141" s="13"/>
      <c r="S141" s="13"/>
      <c r="T141" s="13"/>
      <c r="U141" s="13"/>
    </row>
    <row r="142">
      <c r="K142" s="12"/>
      <c r="L142" s="12"/>
      <c r="M142" s="12"/>
      <c r="N142" s="12"/>
      <c r="R142" s="13"/>
      <c r="S142" s="13"/>
      <c r="T142" s="13"/>
      <c r="U142" s="13"/>
    </row>
    <row r="143">
      <c r="K143" s="12"/>
      <c r="L143" s="12"/>
      <c r="M143" s="12"/>
      <c r="N143" s="12"/>
      <c r="R143" s="13"/>
      <c r="S143" s="13"/>
      <c r="T143" s="13"/>
      <c r="U143" s="13"/>
    </row>
    <row r="144">
      <c r="K144" s="12"/>
      <c r="L144" s="12"/>
      <c r="M144" s="12"/>
      <c r="N144" s="12"/>
      <c r="R144" s="13"/>
      <c r="S144" s="13"/>
      <c r="T144" s="13"/>
      <c r="U144" s="13"/>
    </row>
    <row r="145">
      <c r="K145" s="12"/>
      <c r="L145" s="12"/>
      <c r="M145" s="12"/>
      <c r="N145" s="12"/>
      <c r="R145" s="13"/>
      <c r="S145" s="13"/>
      <c r="T145" s="13"/>
      <c r="U145" s="13"/>
    </row>
    <row r="146">
      <c r="K146" s="12"/>
      <c r="L146" s="12"/>
      <c r="M146" s="12"/>
      <c r="N146" s="12"/>
      <c r="R146" s="13"/>
      <c r="S146" s="13"/>
      <c r="T146" s="13"/>
      <c r="U146" s="13"/>
    </row>
    <row r="147">
      <c r="K147" s="12"/>
      <c r="L147" s="12"/>
      <c r="M147" s="12"/>
      <c r="N147" s="12"/>
      <c r="R147" s="13"/>
      <c r="S147" s="13"/>
      <c r="T147" s="13"/>
      <c r="U147" s="13"/>
    </row>
    <row r="148">
      <c r="K148" s="12"/>
      <c r="L148" s="12"/>
      <c r="M148" s="12"/>
      <c r="N148" s="12"/>
      <c r="R148" s="13"/>
      <c r="S148" s="13"/>
      <c r="T148" s="13"/>
      <c r="U148" s="13"/>
    </row>
    <row r="149">
      <c r="K149" s="12"/>
      <c r="L149" s="12"/>
      <c r="M149" s="12"/>
      <c r="N149" s="12"/>
      <c r="R149" s="13"/>
      <c r="S149" s="13"/>
      <c r="T149" s="13"/>
      <c r="U149" s="13"/>
    </row>
    <row r="150">
      <c r="K150" s="12"/>
      <c r="L150" s="12"/>
      <c r="M150" s="12"/>
      <c r="N150" s="12"/>
      <c r="R150" s="13"/>
      <c r="S150" s="13"/>
      <c r="T150" s="13"/>
      <c r="U150" s="13"/>
    </row>
    <row r="151">
      <c r="K151" s="12"/>
      <c r="L151" s="12"/>
      <c r="M151" s="12"/>
      <c r="N151" s="12"/>
      <c r="R151" s="13"/>
      <c r="S151" s="13"/>
      <c r="T151" s="13"/>
      <c r="U151" s="13"/>
    </row>
    <row r="152">
      <c r="K152" s="12"/>
      <c r="L152" s="12"/>
      <c r="M152" s="12"/>
      <c r="N152" s="12"/>
      <c r="R152" s="13"/>
      <c r="S152" s="13"/>
      <c r="T152" s="13"/>
      <c r="U152" s="13"/>
    </row>
    <row r="153">
      <c r="K153" s="12"/>
      <c r="L153" s="12"/>
      <c r="M153" s="12"/>
      <c r="N153" s="12"/>
      <c r="R153" s="13"/>
      <c r="S153" s="13"/>
      <c r="T153" s="13"/>
      <c r="U153" s="13"/>
    </row>
    <row r="154">
      <c r="K154" s="12"/>
      <c r="L154" s="12"/>
      <c r="M154" s="12"/>
      <c r="N154" s="12"/>
      <c r="R154" s="13"/>
      <c r="S154" s="13"/>
      <c r="T154" s="13"/>
      <c r="U154" s="13"/>
    </row>
    <row r="155">
      <c r="K155" s="12"/>
      <c r="L155" s="12"/>
      <c r="M155" s="12"/>
      <c r="N155" s="12"/>
      <c r="R155" s="13"/>
      <c r="S155" s="13"/>
      <c r="T155" s="13"/>
      <c r="U155" s="13"/>
    </row>
    <row r="156">
      <c r="K156" s="12"/>
      <c r="L156" s="12"/>
      <c r="M156" s="12"/>
      <c r="N156" s="12"/>
      <c r="R156" s="13"/>
      <c r="S156" s="13"/>
      <c r="T156" s="13"/>
      <c r="U156" s="13"/>
    </row>
    <row r="157">
      <c r="K157" s="12"/>
      <c r="L157" s="12"/>
      <c r="M157" s="12"/>
      <c r="N157" s="12"/>
      <c r="R157" s="13"/>
      <c r="S157" s="13"/>
      <c r="T157" s="13"/>
      <c r="U157" s="13"/>
    </row>
    <row r="158">
      <c r="K158" s="12"/>
      <c r="L158" s="12"/>
      <c r="M158" s="12"/>
      <c r="N158" s="12"/>
      <c r="R158" s="13"/>
      <c r="S158" s="13"/>
      <c r="T158" s="13"/>
      <c r="U158" s="13"/>
    </row>
    <row r="159">
      <c r="K159" s="12"/>
      <c r="L159" s="12"/>
      <c r="M159" s="12"/>
      <c r="N159" s="12"/>
      <c r="R159" s="13"/>
      <c r="S159" s="13"/>
      <c r="T159" s="13"/>
      <c r="U159" s="13"/>
    </row>
    <row r="160">
      <c r="K160" s="12"/>
      <c r="L160" s="12"/>
      <c r="M160" s="12"/>
      <c r="N160" s="12"/>
      <c r="R160" s="13"/>
      <c r="S160" s="13"/>
      <c r="T160" s="13"/>
      <c r="U160" s="13"/>
    </row>
    <row r="161">
      <c r="K161" s="12"/>
      <c r="L161" s="12"/>
      <c r="M161" s="12"/>
      <c r="N161" s="12"/>
      <c r="R161" s="13"/>
      <c r="S161" s="13"/>
      <c r="T161" s="13"/>
      <c r="U161" s="13"/>
    </row>
    <row r="162">
      <c r="K162" s="12"/>
      <c r="L162" s="12"/>
      <c r="M162" s="12"/>
      <c r="N162" s="12"/>
      <c r="R162" s="13"/>
      <c r="S162" s="13"/>
      <c r="T162" s="13"/>
      <c r="U162" s="13"/>
    </row>
    <row r="163">
      <c r="K163" s="12"/>
      <c r="L163" s="12"/>
      <c r="M163" s="12"/>
      <c r="N163" s="12"/>
      <c r="R163" s="13"/>
      <c r="S163" s="13"/>
      <c r="T163" s="13"/>
      <c r="U163" s="13"/>
    </row>
    <row r="164">
      <c r="K164" s="12"/>
      <c r="L164" s="12"/>
      <c r="M164" s="12"/>
      <c r="N164" s="12"/>
      <c r="R164" s="13"/>
      <c r="S164" s="13"/>
      <c r="T164" s="13"/>
      <c r="U164" s="13"/>
    </row>
    <row r="165">
      <c r="K165" s="12"/>
      <c r="L165" s="12"/>
      <c r="M165" s="12"/>
      <c r="N165" s="12"/>
      <c r="R165" s="13"/>
      <c r="S165" s="13"/>
      <c r="T165" s="13"/>
      <c r="U165" s="13"/>
    </row>
    <row r="166">
      <c r="K166" s="12"/>
      <c r="L166" s="12"/>
      <c r="M166" s="12"/>
      <c r="N166" s="12"/>
      <c r="R166" s="13"/>
      <c r="S166" s="13"/>
      <c r="T166" s="13"/>
      <c r="U166" s="13"/>
    </row>
    <row r="167">
      <c r="K167" s="12"/>
      <c r="L167" s="12"/>
      <c r="M167" s="12"/>
      <c r="N167" s="12"/>
      <c r="R167" s="13"/>
      <c r="S167" s="13"/>
      <c r="T167" s="13"/>
      <c r="U167" s="13"/>
    </row>
    <row r="168">
      <c r="K168" s="12"/>
      <c r="L168" s="12"/>
      <c r="M168" s="12"/>
      <c r="N168" s="12"/>
      <c r="R168" s="13"/>
      <c r="S168" s="13"/>
      <c r="T168" s="13"/>
      <c r="U168" s="13"/>
    </row>
    <row r="169">
      <c r="K169" s="12"/>
      <c r="L169" s="12"/>
      <c r="M169" s="12"/>
      <c r="N169" s="12"/>
      <c r="R169" s="13"/>
      <c r="S169" s="13"/>
      <c r="T169" s="13"/>
      <c r="U169" s="13"/>
    </row>
    <row r="170">
      <c r="K170" s="12"/>
      <c r="L170" s="12"/>
      <c r="M170" s="12"/>
      <c r="N170" s="12"/>
      <c r="R170" s="13"/>
      <c r="S170" s="13"/>
      <c r="T170" s="13"/>
      <c r="U170" s="13"/>
    </row>
    <row r="171">
      <c r="K171" s="12"/>
      <c r="L171" s="12"/>
      <c r="M171" s="12"/>
      <c r="N171" s="12"/>
      <c r="R171" s="13"/>
      <c r="S171" s="13"/>
      <c r="T171" s="13"/>
      <c r="U171" s="13"/>
    </row>
    <row r="172">
      <c r="K172" s="12"/>
      <c r="L172" s="12"/>
      <c r="M172" s="12"/>
      <c r="N172" s="12"/>
      <c r="R172" s="13"/>
      <c r="S172" s="13"/>
      <c r="T172" s="13"/>
      <c r="U172" s="13"/>
    </row>
    <row r="173">
      <c r="K173" s="12"/>
      <c r="L173" s="12"/>
      <c r="M173" s="12"/>
      <c r="N173" s="12"/>
      <c r="R173" s="13"/>
      <c r="S173" s="13"/>
      <c r="T173" s="13"/>
      <c r="U173" s="13"/>
    </row>
    <row r="174">
      <c r="K174" s="12"/>
      <c r="L174" s="12"/>
      <c r="M174" s="12"/>
      <c r="N174" s="12"/>
      <c r="R174" s="13"/>
      <c r="S174" s="13"/>
      <c r="T174" s="13"/>
      <c r="U174" s="13"/>
    </row>
    <row r="175">
      <c r="K175" s="12"/>
      <c r="L175" s="12"/>
      <c r="M175" s="12"/>
      <c r="N175" s="12"/>
      <c r="R175" s="13"/>
      <c r="S175" s="13"/>
      <c r="T175" s="13"/>
      <c r="U175" s="13"/>
    </row>
    <row r="176">
      <c r="K176" s="12"/>
      <c r="L176" s="12"/>
      <c r="M176" s="12"/>
      <c r="N176" s="12"/>
      <c r="R176" s="13"/>
      <c r="S176" s="13"/>
      <c r="T176" s="13"/>
      <c r="U176" s="13"/>
    </row>
    <row r="177">
      <c r="K177" s="12"/>
      <c r="L177" s="12"/>
      <c r="M177" s="12"/>
      <c r="N177" s="12"/>
      <c r="R177" s="13"/>
      <c r="S177" s="13"/>
      <c r="T177" s="13"/>
      <c r="U177" s="13"/>
    </row>
    <row r="178">
      <c r="K178" s="12"/>
      <c r="L178" s="12"/>
      <c r="M178" s="12"/>
      <c r="N178" s="12"/>
      <c r="R178" s="13"/>
      <c r="S178" s="13"/>
      <c r="T178" s="13"/>
      <c r="U178" s="13"/>
    </row>
    <row r="179">
      <c r="K179" s="12"/>
      <c r="L179" s="12"/>
      <c r="M179" s="12"/>
      <c r="N179" s="12"/>
      <c r="R179" s="13"/>
      <c r="S179" s="13"/>
      <c r="T179" s="13"/>
      <c r="U179" s="13"/>
    </row>
    <row r="180">
      <c r="K180" s="12"/>
      <c r="L180" s="12"/>
      <c r="M180" s="12"/>
      <c r="N180" s="12"/>
      <c r="R180" s="13"/>
      <c r="S180" s="13"/>
      <c r="T180" s="13"/>
      <c r="U180" s="13"/>
    </row>
    <row r="181">
      <c r="K181" s="12"/>
      <c r="L181" s="12"/>
      <c r="M181" s="12"/>
      <c r="N181" s="12"/>
      <c r="R181" s="13"/>
      <c r="S181" s="13"/>
      <c r="T181" s="13"/>
      <c r="U181" s="13"/>
    </row>
    <row r="182">
      <c r="K182" s="12"/>
      <c r="L182" s="12"/>
      <c r="M182" s="12"/>
      <c r="N182" s="12"/>
      <c r="R182" s="13"/>
      <c r="S182" s="13"/>
      <c r="T182" s="13"/>
      <c r="U182" s="13"/>
    </row>
    <row r="183">
      <c r="K183" s="12"/>
      <c r="L183" s="12"/>
      <c r="M183" s="12"/>
      <c r="N183" s="12"/>
      <c r="R183" s="13"/>
      <c r="S183" s="13"/>
      <c r="T183" s="13"/>
      <c r="U183" s="13"/>
    </row>
    <row r="184">
      <c r="K184" s="12"/>
      <c r="L184" s="12"/>
      <c r="M184" s="12"/>
      <c r="N184" s="12"/>
      <c r="R184" s="13"/>
      <c r="S184" s="13"/>
      <c r="T184" s="13"/>
      <c r="U184" s="13"/>
    </row>
    <row r="185">
      <c r="K185" s="12"/>
      <c r="L185" s="12"/>
      <c r="M185" s="12"/>
      <c r="N185" s="12"/>
      <c r="R185" s="13"/>
      <c r="S185" s="13"/>
      <c r="T185" s="13"/>
      <c r="U185" s="13"/>
    </row>
    <row r="186">
      <c r="K186" s="12"/>
      <c r="L186" s="12"/>
      <c r="M186" s="12"/>
      <c r="N186" s="12"/>
      <c r="R186" s="13"/>
      <c r="S186" s="13"/>
      <c r="T186" s="13"/>
      <c r="U186" s="13"/>
    </row>
    <row r="187">
      <c r="K187" s="12"/>
      <c r="L187" s="12"/>
      <c r="M187" s="12"/>
      <c r="N187" s="12"/>
      <c r="R187" s="13"/>
      <c r="S187" s="13"/>
      <c r="T187" s="13"/>
      <c r="U187" s="13"/>
    </row>
    <row r="188">
      <c r="K188" s="12"/>
      <c r="L188" s="12"/>
      <c r="M188" s="12"/>
      <c r="N188" s="12"/>
      <c r="R188" s="13"/>
      <c r="S188" s="13"/>
      <c r="T188" s="13"/>
      <c r="U188" s="13"/>
    </row>
    <row r="189">
      <c r="K189" s="12"/>
      <c r="L189" s="12"/>
      <c r="M189" s="12"/>
      <c r="N189" s="12"/>
      <c r="R189" s="13"/>
      <c r="S189" s="13"/>
      <c r="T189" s="13"/>
      <c r="U189" s="13"/>
    </row>
    <row r="190">
      <c r="K190" s="12"/>
      <c r="L190" s="12"/>
      <c r="M190" s="12"/>
      <c r="N190" s="12"/>
      <c r="R190" s="13"/>
      <c r="S190" s="13"/>
      <c r="T190" s="13"/>
      <c r="U190" s="13"/>
    </row>
    <row r="191">
      <c r="K191" s="12"/>
      <c r="L191" s="12"/>
      <c r="M191" s="12"/>
      <c r="N191" s="12"/>
      <c r="R191" s="13"/>
      <c r="S191" s="13"/>
      <c r="T191" s="13"/>
      <c r="U191" s="13"/>
    </row>
    <row r="192">
      <c r="K192" s="12"/>
      <c r="L192" s="12"/>
      <c r="M192" s="12"/>
      <c r="N192" s="12"/>
      <c r="R192" s="13"/>
      <c r="S192" s="13"/>
      <c r="T192" s="13"/>
      <c r="U192" s="13"/>
    </row>
    <row r="193">
      <c r="K193" s="12"/>
      <c r="L193" s="12"/>
      <c r="M193" s="12"/>
      <c r="N193" s="12"/>
      <c r="R193" s="13"/>
      <c r="S193" s="13"/>
      <c r="T193" s="13"/>
      <c r="U193" s="13"/>
    </row>
    <row r="194">
      <c r="K194" s="12"/>
      <c r="L194" s="12"/>
      <c r="M194" s="12"/>
      <c r="N194" s="12"/>
      <c r="R194" s="13"/>
      <c r="S194" s="13"/>
      <c r="T194" s="13"/>
      <c r="U194" s="13"/>
    </row>
    <row r="195">
      <c r="K195" s="12"/>
      <c r="L195" s="12"/>
      <c r="M195" s="12"/>
      <c r="N195" s="12"/>
      <c r="R195" s="13"/>
      <c r="S195" s="13"/>
      <c r="T195" s="13"/>
      <c r="U195" s="13"/>
    </row>
    <row r="196">
      <c r="K196" s="12"/>
      <c r="L196" s="12"/>
      <c r="M196" s="12"/>
      <c r="N196" s="12"/>
      <c r="R196" s="13"/>
      <c r="S196" s="13"/>
      <c r="T196" s="13"/>
      <c r="U196" s="13"/>
    </row>
    <row r="197">
      <c r="K197" s="12"/>
      <c r="L197" s="12"/>
      <c r="M197" s="12"/>
      <c r="N197" s="12"/>
      <c r="R197" s="13"/>
      <c r="S197" s="13"/>
      <c r="T197" s="13"/>
      <c r="U197" s="13"/>
    </row>
    <row r="198">
      <c r="K198" s="12"/>
      <c r="L198" s="12"/>
      <c r="M198" s="12"/>
      <c r="N198" s="12"/>
      <c r="R198" s="13"/>
      <c r="S198" s="13"/>
      <c r="T198" s="13"/>
      <c r="U198" s="13"/>
    </row>
    <row r="199">
      <c r="K199" s="12"/>
      <c r="L199" s="12"/>
      <c r="M199" s="12"/>
      <c r="N199" s="12"/>
      <c r="R199" s="13"/>
      <c r="S199" s="13"/>
      <c r="T199" s="13"/>
      <c r="U199" s="13"/>
    </row>
    <row r="200">
      <c r="K200" s="12"/>
      <c r="L200" s="12"/>
      <c r="M200" s="12"/>
      <c r="N200" s="12"/>
      <c r="R200" s="13"/>
      <c r="S200" s="13"/>
      <c r="T200" s="13"/>
      <c r="U200" s="13"/>
    </row>
    <row r="201">
      <c r="K201" s="12"/>
      <c r="L201" s="12"/>
      <c r="M201" s="12"/>
      <c r="N201" s="12"/>
      <c r="R201" s="13"/>
      <c r="S201" s="13"/>
      <c r="T201" s="13"/>
      <c r="U201" s="13"/>
    </row>
    <row r="202">
      <c r="K202" s="12"/>
      <c r="L202" s="12"/>
      <c r="M202" s="12"/>
      <c r="N202" s="12"/>
      <c r="R202" s="13"/>
      <c r="S202" s="13"/>
      <c r="T202" s="13"/>
      <c r="U202" s="13"/>
    </row>
    <row r="203">
      <c r="K203" s="12"/>
      <c r="L203" s="12"/>
      <c r="M203" s="12"/>
      <c r="N203" s="12"/>
      <c r="R203" s="13"/>
      <c r="S203" s="13"/>
      <c r="T203" s="13"/>
      <c r="U203" s="13"/>
    </row>
    <row r="204">
      <c r="K204" s="12"/>
      <c r="L204" s="12"/>
      <c r="M204" s="12"/>
      <c r="N204" s="12"/>
      <c r="R204" s="13"/>
      <c r="S204" s="13"/>
      <c r="T204" s="13"/>
      <c r="U204" s="13"/>
    </row>
    <row r="205">
      <c r="K205" s="12"/>
      <c r="L205" s="12"/>
      <c r="M205" s="12"/>
      <c r="N205" s="12"/>
      <c r="R205" s="13"/>
      <c r="S205" s="13"/>
      <c r="T205" s="13"/>
      <c r="U205" s="13"/>
    </row>
    <row r="206">
      <c r="K206" s="12"/>
      <c r="L206" s="12"/>
      <c r="M206" s="12"/>
      <c r="N206" s="12"/>
      <c r="R206" s="13"/>
      <c r="S206" s="13"/>
      <c r="T206" s="13"/>
      <c r="U206" s="13"/>
    </row>
    <row r="207">
      <c r="K207" s="12"/>
      <c r="L207" s="12"/>
      <c r="M207" s="12"/>
      <c r="N207" s="12"/>
      <c r="R207" s="13"/>
      <c r="S207" s="13"/>
      <c r="T207" s="13"/>
      <c r="U207" s="13"/>
    </row>
    <row r="208">
      <c r="K208" s="12"/>
      <c r="L208" s="12"/>
      <c r="M208" s="12"/>
      <c r="N208" s="12"/>
      <c r="R208" s="13"/>
      <c r="S208" s="13"/>
      <c r="T208" s="13"/>
      <c r="U208" s="13"/>
    </row>
    <row r="209">
      <c r="K209" s="12"/>
      <c r="L209" s="12"/>
      <c r="M209" s="12"/>
      <c r="N209" s="12"/>
      <c r="R209" s="13"/>
      <c r="S209" s="13"/>
      <c r="T209" s="13"/>
      <c r="U209" s="13"/>
    </row>
    <row r="210">
      <c r="K210" s="12"/>
      <c r="L210" s="12"/>
      <c r="M210" s="12"/>
      <c r="N210" s="12"/>
      <c r="R210" s="13"/>
      <c r="S210" s="13"/>
      <c r="T210" s="13"/>
      <c r="U210" s="13"/>
    </row>
    <row r="211">
      <c r="K211" s="12"/>
      <c r="L211" s="12"/>
      <c r="M211" s="12"/>
      <c r="N211" s="12"/>
      <c r="R211" s="13"/>
      <c r="S211" s="13"/>
      <c r="T211" s="13"/>
      <c r="U211" s="13"/>
    </row>
    <row r="212">
      <c r="K212" s="12"/>
      <c r="L212" s="12"/>
      <c r="M212" s="12"/>
      <c r="N212" s="12"/>
      <c r="R212" s="13"/>
      <c r="S212" s="13"/>
      <c r="T212" s="13"/>
      <c r="U212" s="13"/>
    </row>
    <row r="213">
      <c r="K213" s="12"/>
      <c r="L213" s="12"/>
      <c r="M213" s="12"/>
      <c r="N213" s="12"/>
      <c r="R213" s="13"/>
      <c r="S213" s="13"/>
      <c r="T213" s="13"/>
      <c r="U213" s="13"/>
    </row>
    <row r="214">
      <c r="K214" s="12"/>
      <c r="L214" s="12"/>
      <c r="M214" s="12"/>
      <c r="N214" s="12"/>
      <c r="R214" s="13"/>
      <c r="S214" s="13"/>
      <c r="T214" s="13"/>
      <c r="U214" s="13"/>
    </row>
    <row r="215">
      <c r="K215" s="12"/>
      <c r="L215" s="12"/>
      <c r="M215" s="12"/>
      <c r="N215" s="12"/>
      <c r="R215" s="13"/>
      <c r="S215" s="13"/>
      <c r="T215" s="13"/>
      <c r="U215" s="13"/>
    </row>
    <row r="216">
      <c r="K216" s="12"/>
      <c r="L216" s="12"/>
      <c r="M216" s="12"/>
      <c r="N216" s="12"/>
      <c r="R216" s="13"/>
      <c r="S216" s="13"/>
      <c r="T216" s="13"/>
      <c r="U216" s="13"/>
    </row>
    <row r="217">
      <c r="K217" s="12"/>
      <c r="L217" s="12"/>
      <c r="M217" s="12"/>
      <c r="N217" s="12"/>
      <c r="R217" s="13"/>
      <c r="S217" s="13"/>
      <c r="T217" s="13"/>
      <c r="U217" s="13"/>
    </row>
    <row r="218">
      <c r="K218" s="12"/>
      <c r="L218" s="12"/>
      <c r="M218" s="12"/>
      <c r="N218" s="12"/>
      <c r="R218" s="13"/>
      <c r="S218" s="13"/>
      <c r="T218" s="13"/>
      <c r="U218" s="13"/>
    </row>
    <row r="219">
      <c r="K219" s="12"/>
      <c r="L219" s="12"/>
      <c r="M219" s="12"/>
      <c r="N219" s="12"/>
      <c r="R219" s="13"/>
      <c r="S219" s="13"/>
      <c r="T219" s="13"/>
      <c r="U219" s="13"/>
    </row>
    <row r="220">
      <c r="K220" s="12"/>
      <c r="L220" s="12"/>
      <c r="M220" s="12"/>
      <c r="N220" s="12"/>
      <c r="R220" s="13"/>
      <c r="S220" s="13"/>
      <c r="T220" s="13"/>
      <c r="U220" s="13"/>
    </row>
    <row r="221">
      <c r="K221" s="12"/>
      <c r="L221" s="12"/>
      <c r="M221" s="12"/>
      <c r="N221" s="12"/>
      <c r="R221" s="13"/>
      <c r="S221" s="13"/>
      <c r="T221" s="13"/>
      <c r="U221" s="13"/>
    </row>
    <row r="222">
      <c r="K222" s="12"/>
      <c r="L222" s="12"/>
      <c r="M222" s="12"/>
      <c r="N222" s="12"/>
      <c r="R222" s="13"/>
      <c r="S222" s="13"/>
      <c r="T222" s="13"/>
      <c r="U222" s="13"/>
    </row>
    <row r="223">
      <c r="K223" s="12"/>
      <c r="L223" s="12"/>
      <c r="M223" s="12"/>
      <c r="N223" s="12"/>
      <c r="R223" s="13"/>
      <c r="S223" s="13"/>
      <c r="T223" s="13"/>
      <c r="U223" s="13"/>
    </row>
    <row r="224">
      <c r="K224" s="12"/>
      <c r="L224" s="12"/>
      <c r="M224" s="12"/>
      <c r="N224" s="12"/>
      <c r="R224" s="13"/>
      <c r="S224" s="13"/>
      <c r="T224" s="13"/>
      <c r="U224" s="13"/>
    </row>
    <row r="225">
      <c r="K225" s="12"/>
      <c r="L225" s="12"/>
      <c r="M225" s="12"/>
      <c r="N225" s="12"/>
      <c r="R225" s="13"/>
      <c r="S225" s="13"/>
      <c r="T225" s="13"/>
      <c r="U225" s="13"/>
    </row>
    <row r="226">
      <c r="K226" s="12"/>
      <c r="L226" s="12"/>
      <c r="M226" s="12"/>
      <c r="N226" s="12"/>
      <c r="R226" s="13"/>
      <c r="S226" s="13"/>
      <c r="T226" s="13"/>
      <c r="U226" s="13"/>
    </row>
    <row r="227">
      <c r="K227" s="12"/>
      <c r="L227" s="12"/>
      <c r="M227" s="12"/>
      <c r="N227" s="12"/>
      <c r="R227" s="13"/>
      <c r="S227" s="13"/>
      <c r="T227" s="13"/>
      <c r="U227" s="13"/>
    </row>
    <row r="228">
      <c r="K228" s="12"/>
      <c r="L228" s="12"/>
      <c r="M228" s="12"/>
      <c r="N228" s="12"/>
      <c r="R228" s="13"/>
      <c r="S228" s="13"/>
      <c r="T228" s="13"/>
      <c r="U228" s="13"/>
    </row>
    <row r="229">
      <c r="K229" s="12"/>
      <c r="L229" s="12"/>
      <c r="M229" s="12"/>
      <c r="N229" s="12"/>
      <c r="R229" s="13"/>
      <c r="S229" s="13"/>
      <c r="T229" s="13"/>
      <c r="U229" s="13"/>
    </row>
    <row r="230">
      <c r="K230" s="12"/>
      <c r="L230" s="12"/>
      <c r="M230" s="12"/>
      <c r="N230" s="12"/>
      <c r="R230" s="13"/>
      <c r="S230" s="13"/>
      <c r="T230" s="13"/>
      <c r="U230" s="13"/>
    </row>
    <row r="231">
      <c r="K231" s="12"/>
      <c r="L231" s="12"/>
      <c r="M231" s="12"/>
      <c r="N231" s="12"/>
      <c r="R231" s="13"/>
      <c r="S231" s="13"/>
      <c r="T231" s="13"/>
      <c r="U231" s="13"/>
    </row>
    <row r="232">
      <c r="K232" s="12"/>
      <c r="L232" s="12"/>
      <c r="M232" s="12"/>
      <c r="N232" s="12"/>
      <c r="R232" s="13"/>
      <c r="S232" s="13"/>
      <c r="T232" s="13"/>
      <c r="U232" s="13"/>
    </row>
    <row r="233">
      <c r="K233" s="12"/>
      <c r="L233" s="12"/>
      <c r="M233" s="12"/>
      <c r="N233" s="12"/>
      <c r="R233" s="13"/>
      <c r="S233" s="13"/>
      <c r="T233" s="13"/>
      <c r="U233" s="13"/>
    </row>
    <row r="234">
      <c r="K234" s="12"/>
      <c r="L234" s="12"/>
      <c r="M234" s="12"/>
      <c r="N234" s="12"/>
      <c r="R234" s="13"/>
      <c r="S234" s="13"/>
      <c r="T234" s="13"/>
      <c r="U234" s="13"/>
    </row>
    <row r="235">
      <c r="K235" s="12"/>
      <c r="L235" s="12"/>
      <c r="M235" s="12"/>
      <c r="N235" s="12"/>
      <c r="R235" s="13"/>
      <c r="S235" s="13"/>
      <c r="T235" s="13"/>
      <c r="U235" s="13"/>
    </row>
    <row r="236">
      <c r="K236" s="12"/>
      <c r="L236" s="12"/>
      <c r="M236" s="12"/>
      <c r="N236" s="12"/>
      <c r="R236" s="13"/>
      <c r="S236" s="13"/>
      <c r="T236" s="13"/>
      <c r="U236" s="13"/>
    </row>
    <row r="237">
      <c r="K237" s="12"/>
      <c r="L237" s="12"/>
      <c r="M237" s="12"/>
      <c r="N237" s="12"/>
      <c r="R237" s="13"/>
      <c r="S237" s="13"/>
      <c r="T237" s="13"/>
      <c r="U237" s="13"/>
    </row>
    <row r="238">
      <c r="K238" s="12"/>
      <c r="L238" s="12"/>
      <c r="M238" s="12"/>
      <c r="N238" s="12"/>
      <c r="R238" s="13"/>
      <c r="S238" s="13"/>
      <c r="T238" s="13"/>
      <c r="U238" s="13"/>
    </row>
    <row r="239">
      <c r="K239" s="12"/>
      <c r="L239" s="12"/>
      <c r="M239" s="12"/>
      <c r="N239" s="12"/>
      <c r="R239" s="13"/>
      <c r="S239" s="13"/>
      <c r="T239" s="13"/>
      <c r="U239" s="13"/>
    </row>
    <row r="240">
      <c r="K240" s="12"/>
      <c r="L240" s="12"/>
      <c r="M240" s="12"/>
      <c r="N240" s="12"/>
      <c r="R240" s="13"/>
      <c r="S240" s="13"/>
      <c r="T240" s="13"/>
      <c r="U240" s="13"/>
    </row>
    <row r="241">
      <c r="K241" s="12"/>
      <c r="L241" s="12"/>
      <c r="M241" s="12"/>
      <c r="N241" s="12"/>
      <c r="R241" s="13"/>
      <c r="S241" s="13"/>
      <c r="T241" s="13"/>
      <c r="U241" s="13"/>
    </row>
    <row r="242">
      <c r="K242" s="12"/>
      <c r="L242" s="12"/>
      <c r="M242" s="12"/>
      <c r="N242" s="12"/>
      <c r="R242" s="13"/>
      <c r="S242" s="13"/>
      <c r="T242" s="13"/>
      <c r="U242" s="13"/>
    </row>
    <row r="243">
      <c r="K243" s="12"/>
      <c r="L243" s="12"/>
      <c r="M243" s="12"/>
      <c r="N243" s="12"/>
      <c r="R243" s="13"/>
      <c r="S243" s="13"/>
      <c r="T243" s="13"/>
      <c r="U243" s="13"/>
    </row>
    <row r="244">
      <c r="K244" s="12"/>
      <c r="L244" s="12"/>
      <c r="M244" s="12"/>
      <c r="N244" s="12"/>
      <c r="R244" s="13"/>
      <c r="S244" s="13"/>
      <c r="T244" s="13"/>
      <c r="U244" s="13"/>
    </row>
    <row r="245">
      <c r="K245" s="12"/>
      <c r="L245" s="12"/>
      <c r="M245" s="12"/>
      <c r="N245" s="12"/>
      <c r="R245" s="13"/>
      <c r="S245" s="13"/>
      <c r="T245" s="13"/>
      <c r="U245" s="13"/>
    </row>
    <row r="246">
      <c r="K246" s="12"/>
      <c r="L246" s="12"/>
      <c r="M246" s="12"/>
      <c r="N246" s="12"/>
      <c r="R246" s="13"/>
      <c r="S246" s="13"/>
      <c r="T246" s="13"/>
      <c r="U246" s="13"/>
    </row>
    <row r="247">
      <c r="K247" s="12"/>
      <c r="L247" s="12"/>
      <c r="M247" s="12"/>
      <c r="N247" s="12"/>
      <c r="R247" s="13"/>
      <c r="S247" s="13"/>
      <c r="T247" s="13"/>
      <c r="U247" s="13"/>
    </row>
    <row r="248">
      <c r="K248" s="12"/>
      <c r="L248" s="12"/>
      <c r="M248" s="12"/>
      <c r="N248" s="12"/>
      <c r="R248" s="13"/>
      <c r="S248" s="13"/>
      <c r="T248" s="13"/>
      <c r="U248" s="13"/>
    </row>
    <row r="249">
      <c r="K249" s="12"/>
      <c r="L249" s="12"/>
      <c r="M249" s="12"/>
      <c r="N249" s="12"/>
      <c r="R249" s="13"/>
      <c r="S249" s="13"/>
      <c r="T249" s="13"/>
      <c r="U249" s="13"/>
    </row>
    <row r="250">
      <c r="K250" s="12"/>
      <c r="L250" s="12"/>
      <c r="M250" s="12"/>
      <c r="N250" s="12"/>
      <c r="R250" s="13"/>
      <c r="S250" s="13"/>
      <c r="T250" s="13"/>
      <c r="U250" s="13"/>
    </row>
    <row r="251">
      <c r="K251" s="12"/>
      <c r="L251" s="12"/>
      <c r="M251" s="12"/>
      <c r="N251" s="12"/>
      <c r="R251" s="13"/>
      <c r="S251" s="13"/>
      <c r="T251" s="13"/>
      <c r="U251" s="13"/>
    </row>
    <row r="252">
      <c r="K252" s="12"/>
      <c r="L252" s="12"/>
      <c r="M252" s="12"/>
      <c r="N252" s="12"/>
      <c r="R252" s="13"/>
      <c r="S252" s="13"/>
      <c r="T252" s="13"/>
      <c r="U252" s="13"/>
    </row>
    <row r="253">
      <c r="K253" s="12"/>
      <c r="L253" s="12"/>
      <c r="M253" s="12"/>
      <c r="N253" s="12"/>
      <c r="R253" s="13"/>
      <c r="S253" s="13"/>
      <c r="T253" s="13"/>
      <c r="U253" s="13"/>
    </row>
    <row r="254">
      <c r="K254" s="12"/>
      <c r="L254" s="12"/>
      <c r="M254" s="12"/>
      <c r="N254" s="12"/>
      <c r="R254" s="13"/>
      <c r="S254" s="13"/>
      <c r="T254" s="13"/>
      <c r="U254" s="13"/>
    </row>
    <row r="255">
      <c r="K255" s="12"/>
      <c r="L255" s="12"/>
      <c r="M255" s="12"/>
      <c r="N255" s="12"/>
      <c r="R255" s="13"/>
      <c r="S255" s="13"/>
      <c r="T255" s="13"/>
      <c r="U255" s="13"/>
    </row>
    <row r="256">
      <c r="K256" s="12"/>
      <c r="L256" s="12"/>
      <c r="M256" s="12"/>
      <c r="N256" s="12"/>
      <c r="R256" s="13"/>
      <c r="S256" s="13"/>
      <c r="T256" s="13"/>
      <c r="U256" s="13"/>
    </row>
    <row r="257">
      <c r="K257" s="12"/>
      <c r="L257" s="12"/>
      <c r="M257" s="12"/>
      <c r="N257" s="12"/>
      <c r="R257" s="13"/>
      <c r="S257" s="13"/>
      <c r="T257" s="13"/>
      <c r="U257" s="13"/>
    </row>
    <row r="258">
      <c r="K258" s="12"/>
      <c r="L258" s="12"/>
      <c r="M258" s="12"/>
      <c r="N258" s="12"/>
      <c r="R258" s="13"/>
      <c r="S258" s="13"/>
      <c r="T258" s="13"/>
      <c r="U258" s="13"/>
    </row>
    <row r="259">
      <c r="K259" s="12"/>
      <c r="L259" s="12"/>
      <c r="M259" s="12"/>
      <c r="N259" s="12"/>
      <c r="R259" s="13"/>
      <c r="S259" s="13"/>
      <c r="T259" s="13"/>
      <c r="U259" s="13"/>
    </row>
    <row r="260">
      <c r="K260" s="12"/>
      <c r="L260" s="12"/>
      <c r="M260" s="12"/>
      <c r="N260" s="12"/>
      <c r="R260" s="13"/>
      <c r="S260" s="13"/>
      <c r="T260" s="13"/>
      <c r="U260" s="13"/>
    </row>
    <row r="261">
      <c r="K261" s="12"/>
      <c r="L261" s="12"/>
      <c r="M261" s="12"/>
      <c r="N261" s="12"/>
      <c r="R261" s="13"/>
      <c r="S261" s="13"/>
      <c r="T261" s="13"/>
      <c r="U261" s="13"/>
    </row>
    <row r="262">
      <c r="K262" s="12"/>
      <c r="L262" s="12"/>
      <c r="M262" s="12"/>
      <c r="N262" s="12"/>
      <c r="R262" s="13"/>
      <c r="S262" s="13"/>
      <c r="T262" s="13"/>
      <c r="U262" s="13"/>
    </row>
    <row r="263">
      <c r="K263" s="12"/>
      <c r="L263" s="12"/>
      <c r="M263" s="12"/>
      <c r="N263" s="12"/>
      <c r="R263" s="13"/>
      <c r="S263" s="13"/>
      <c r="T263" s="13"/>
      <c r="U263" s="13"/>
    </row>
    <row r="264">
      <c r="K264" s="12"/>
      <c r="L264" s="12"/>
      <c r="M264" s="12"/>
      <c r="N264" s="12"/>
      <c r="R264" s="13"/>
      <c r="S264" s="13"/>
      <c r="T264" s="13"/>
      <c r="U264" s="13"/>
    </row>
    <row r="265">
      <c r="K265" s="12"/>
      <c r="L265" s="12"/>
      <c r="M265" s="12"/>
      <c r="N265" s="12"/>
      <c r="R265" s="13"/>
      <c r="S265" s="13"/>
      <c r="T265" s="13"/>
      <c r="U265" s="13"/>
    </row>
    <row r="266">
      <c r="K266" s="12"/>
      <c r="L266" s="12"/>
      <c r="M266" s="12"/>
      <c r="N266" s="12"/>
      <c r="R266" s="13"/>
      <c r="S266" s="13"/>
      <c r="T266" s="13"/>
      <c r="U266" s="13"/>
    </row>
    <row r="267">
      <c r="K267" s="12"/>
      <c r="L267" s="12"/>
      <c r="M267" s="12"/>
      <c r="N267" s="12"/>
      <c r="R267" s="13"/>
      <c r="S267" s="13"/>
      <c r="T267" s="13"/>
      <c r="U267" s="13"/>
    </row>
    <row r="268">
      <c r="K268" s="12"/>
      <c r="L268" s="12"/>
      <c r="M268" s="12"/>
      <c r="N268" s="12"/>
      <c r="R268" s="13"/>
      <c r="S268" s="13"/>
      <c r="T268" s="13"/>
      <c r="U268" s="13"/>
    </row>
    <row r="269">
      <c r="K269" s="12"/>
      <c r="L269" s="12"/>
      <c r="M269" s="12"/>
      <c r="N269" s="12"/>
      <c r="R269" s="13"/>
      <c r="S269" s="13"/>
      <c r="T269" s="13"/>
      <c r="U269" s="13"/>
    </row>
    <row r="270">
      <c r="K270" s="12"/>
      <c r="L270" s="12"/>
      <c r="M270" s="12"/>
      <c r="N270" s="12"/>
      <c r="R270" s="13"/>
      <c r="S270" s="13"/>
      <c r="T270" s="13"/>
      <c r="U270" s="13"/>
    </row>
    <row r="271">
      <c r="K271" s="12"/>
      <c r="L271" s="12"/>
      <c r="M271" s="12"/>
      <c r="N271" s="12"/>
      <c r="R271" s="13"/>
      <c r="S271" s="13"/>
      <c r="T271" s="13"/>
      <c r="U271" s="13"/>
    </row>
    <row r="272">
      <c r="K272" s="12"/>
      <c r="L272" s="12"/>
      <c r="M272" s="12"/>
      <c r="N272" s="12"/>
      <c r="R272" s="13"/>
      <c r="S272" s="13"/>
      <c r="T272" s="13"/>
      <c r="U272" s="13"/>
    </row>
    <row r="273">
      <c r="K273" s="12"/>
      <c r="L273" s="12"/>
      <c r="M273" s="12"/>
      <c r="N273" s="12"/>
      <c r="R273" s="13"/>
      <c r="S273" s="13"/>
      <c r="T273" s="13"/>
      <c r="U273" s="13"/>
    </row>
    <row r="274">
      <c r="K274" s="12"/>
      <c r="L274" s="12"/>
      <c r="M274" s="12"/>
      <c r="N274" s="12"/>
      <c r="R274" s="13"/>
      <c r="S274" s="13"/>
      <c r="T274" s="13"/>
      <c r="U274" s="13"/>
    </row>
    <row r="275">
      <c r="K275" s="12"/>
      <c r="L275" s="12"/>
      <c r="M275" s="12"/>
      <c r="N275" s="12"/>
      <c r="R275" s="13"/>
      <c r="S275" s="13"/>
      <c r="T275" s="13"/>
      <c r="U275" s="13"/>
    </row>
    <row r="276">
      <c r="K276" s="12"/>
      <c r="L276" s="12"/>
      <c r="M276" s="12"/>
      <c r="N276" s="12"/>
      <c r="R276" s="13"/>
      <c r="S276" s="13"/>
      <c r="T276" s="13"/>
      <c r="U276" s="13"/>
    </row>
    <row r="277">
      <c r="K277" s="12"/>
      <c r="L277" s="12"/>
      <c r="M277" s="12"/>
      <c r="N277" s="12"/>
      <c r="R277" s="13"/>
      <c r="S277" s="13"/>
      <c r="T277" s="13"/>
      <c r="U277" s="13"/>
    </row>
    <row r="278">
      <c r="K278" s="12"/>
      <c r="L278" s="12"/>
      <c r="M278" s="12"/>
      <c r="N278" s="12"/>
      <c r="R278" s="13"/>
      <c r="S278" s="13"/>
      <c r="T278" s="13"/>
      <c r="U278" s="13"/>
    </row>
    <row r="279">
      <c r="K279" s="12"/>
      <c r="L279" s="12"/>
      <c r="M279" s="12"/>
      <c r="N279" s="12"/>
      <c r="R279" s="13"/>
      <c r="S279" s="13"/>
      <c r="T279" s="13"/>
      <c r="U279" s="13"/>
    </row>
    <row r="280">
      <c r="K280" s="12"/>
      <c r="L280" s="12"/>
      <c r="M280" s="12"/>
      <c r="N280" s="12"/>
      <c r="R280" s="13"/>
      <c r="S280" s="13"/>
      <c r="T280" s="13"/>
      <c r="U280" s="13"/>
    </row>
    <row r="281">
      <c r="K281" s="12"/>
      <c r="L281" s="12"/>
      <c r="M281" s="12"/>
      <c r="N281" s="12"/>
      <c r="R281" s="13"/>
      <c r="S281" s="13"/>
      <c r="T281" s="13"/>
      <c r="U281" s="13"/>
    </row>
    <row r="282">
      <c r="K282" s="12"/>
      <c r="L282" s="12"/>
      <c r="M282" s="12"/>
      <c r="N282" s="12"/>
      <c r="R282" s="13"/>
      <c r="S282" s="13"/>
      <c r="T282" s="13"/>
      <c r="U282" s="13"/>
    </row>
    <row r="283">
      <c r="K283" s="12"/>
      <c r="L283" s="12"/>
      <c r="M283" s="12"/>
      <c r="N283" s="12"/>
      <c r="R283" s="13"/>
      <c r="S283" s="13"/>
      <c r="T283" s="13"/>
      <c r="U283" s="13"/>
    </row>
    <row r="284">
      <c r="K284" s="12"/>
      <c r="L284" s="12"/>
      <c r="M284" s="12"/>
      <c r="N284" s="12"/>
      <c r="R284" s="13"/>
      <c r="S284" s="13"/>
      <c r="T284" s="13"/>
      <c r="U284" s="13"/>
    </row>
    <row r="285">
      <c r="K285" s="12"/>
      <c r="L285" s="12"/>
      <c r="M285" s="12"/>
      <c r="N285" s="12"/>
      <c r="R285" s="13"/>
      <c r="S285" s="13"/>
      <c r="T285" s="13"/>
      <c r="U285" s="13"/>
    </row>
    <row r="286">
      <c r="K286" s="12"/>
      <c r="L286" s="12"/>
      <c r="M286" s="12"/>
      <c r="N286" s="12"/>
      <c r="R286" s="13"/>
      <c r="S286" s="13"/>
      <c r="T286" s="13"/>
      <c r="U286" s="13"/>
    </row>
    <row r="287">
      <c r="K287" s="12"/>
      <c r="L287" s="12"/>
      <c r="M287" s="12"/>
      <c r="N287" s="12"/>
      <c r="R287" s="13"/>
      <c r="S287" s="13"/>
      <c r="T287" s="13"/>
      <c r="U287" s="13"/>
    </row>
    <row r="288">
      <c r="K288" s="12"/>
      <c r="L288" s="12"/>
      <c r="M288" s="12"/>
      <c r="N288" s="12"/>
      <c r="R288" s="13"/>
      <c r="S288" s="13"/>
      <c r="T288" s="13"/>
      <c r="U288" s="13"/>
    </row>
    <row r="289">
      <c r="K289" s="12"/>
      <c r="L289" s="12"/>
      <c r="M289" s="12"/>
      <c r="N289" s="12"/>
      <c r="R289" s="13"/>
      <c r="S289" s="13"/>
      <c r="T289" s="13"/>
      <c r="U289" s="13"/>
    </row>
    <row r="290">
      <c r="K290" s="12"/>
      <c r="L290" s="12"/>
      <c r="M290" s="12"/>
      <c r="N290" s="12"/>
      <c r="R290" s="13"/>
      <c r="S290" s="13"/>
      <c r="T290" s="13"/>
      <c r="U290" s="13"/>
    </row>
    <row r="291">
      <c r="K291" s="12"/>
      <c r="L291" s="12"/>
      <c r="M291" s="12"/>
      <c r="N291" s="12"/>
      <c r="R291" s="13"/>
      <c r="S291" s="13"/>
      <c r="T291" s="13"/>
      <c r="U291" s="13"/>
    </row>
    <row r="292">
      <c r="K292" s="12"/>
      <c r="L292" s="12"/>
      <c r="M292" s="12"/>
      <c r="N292" s="12"/>
      <c r="R292" s="13"/>
      <c r="S292" s="13"/>
      <c r="T292" s="13"/>
      <c r="U292" s="13"/>
    </row>
    <row r="293">
      <c r="K293" s="12"/>
      <c r="L293" s="12"/>
      <c r="M293" s="12"/>
      <c r="N293" s="12"/>
      <c r="R293" s="13"/>
      <c r="S293" s="13"/>
      <c r="T293" s="13"/>
      <c r="U293" s="13"/>
    </row>
    <row r="294">
      <c r="K294" s="12"/>
      <c r="L294" s="12"/>
      <c r="M294" s="12"/>
      <c r="N294" s="12"/>
      <c r="R294" s="13"/>
      <c r="S294" s="13"/>
      <c r="T294" s="13"/>
      <c r="U294" s="13"/>
    </row>
    <row r="295">
      <c r="K295" s="12"/>
      <c r="L295" s="12"/>
      <c r="M295" s="12"/>
      <c r="N295" s="12"/>
      <c r="R295" s="13"/>
      <c r="S295" s="13"/>
      <c r="T295" s="13"/>
      <c r="U295" s="13"/>
    </row>
    <row r="296">
      <c r="K296" s="12"/>
      <c r="L296" s="12"/>
      <c r="M296" s="12"/>
      <c r="N296" s="12"/>
      <c r="R296" s="13"/>
      <c r="S296" s="13"/>
      <c r="T296" s="13"/>
      <c r="U296" s="13"/>
    </row>
    <row r="297">
      <c r="K297" s="12"/>
      <c r="L297" s="12"/>
      <c r="M297" s="12"/>
      <c r="N297" s="12"/>
      <c r="R297" s="13"/>
      <c r="S297" s="13"/>
      <c r="T297" s="13"/>
      <c r="U297" s="13"/>
    </row>
    <row r="298">
      <c r="K298" s="12"/>
      <c r="L298" s="12"/>
      <c r="M298" s="12"/>
      <c r="N298" s="12"/>
      <c r="R298" s="13"/>
      <c r="S298" s="13"/>
      <c r="T298" s="13"/>
      <c r="U298" s="13"/>
    </row>
    <row r="299">
      <c r="K299" s="12"/>
      <c r="L299" s="12"/>
      <c r="M299" s="12"/>
      <c r="N299" s="12"/>
      <c r="R299" s="13"/>
      <c r="S299" s="13"/>
      <c r="T299" s="13"/>
      <c r="U299" s="13"/>
    </row>
    <row r="300">
      <c r="K300" s="12"/>
      <c r="L300" s="12"/>
      <c r="M300" s="12"/>
      <c r="N300" s="12"/>
      <c r="R300" s="13"/>
      <c r="S300" s="13"/>
      <c r="T300" s="13"/>
      <c r="U300" s="13"/>
    </row>
    <row r="301">
      <c r="K301" s="12"/>
      <c r="L301" s="12"/>
      <c r="M301" s="12"/>
      <c r="N301" s="12"/>
      <c r="R301" s="13"/>
      <c r="S301" s="13"/>
      <c r="T301" s="13"/>
      <c r="U301" s="13"/>
    </row>
    <row r="302">
      <c r="K302" s="12"/>
      <c r="L302" s="12"/>
      <c r="M302" s="12"/>
      <c r="N302" s="12"/>
      <c r="R302" s="13"/>
      <c r="S302" s="13"/>
      <c r="T302" s="13"/>
      <c r="U302" s="13"/>
    </row>
    <row r="303">
      <c r="K303" s="12"/>
      <c r="L303" s="12"/>
      <c r="M303" s="12"/>
      <c r="N303" s="12"/>
      <c r="R303" s="13"/>
      <c r="S303" s="13"/>
      <c r="T303" s="13"/>
      <c r="U303" s="13"/>
    </row>
    <row r="304">
      <c r="K304" s="12"/>
      <c r="L304" s="12"/>
      <c r="M304" s="12"/>
      <c r="N304" s="12"/>
      <c r="R304" s="13"/>
      <c r="S304" s="13"/>
      <c r="T304" s="13"/>
      <c r="U304" s="13"/>
    </row>
    <row r="305">
      <c r="K305" s="12"/>
      <c r="L305" s="12"/>
      <c r="M305" s="12"/>
      <c r="N305" s="12"/>
      <c r="R305" s="13"/>
      <c r="S305" s="13"/>
      <c r="T305" s="13"/>
      <c r="U305" s="13"/>
    </row>
    <row r="306">
      <c r="K306" s="12"/>
      <c r="L306" s="12"/>
      <c r="M306" s="12"/>
      <c r="N306" s="12"/>
      <c r="R306" s="13"/>
      <c r="S306" s="13"/>
      <c r="T306" s="13"/>
      <c r="U306" s="13"/>
    </row>
    <row r="307">
      <c r="K307" s="12"/>
      <c r="L307" s="12"/>
      <c r="M307" s="12"/>
      <c r="N307" s="12"/>
      <c r="R307" s="13"/>
      <c r="S307" s="13"/>
      <c r="T307" s="13"/>
      <c r="U307" s="13"/>
    </row>
    <row r="308">
      <c r="K308" s="12"/>
      <c r="L308" s="12"/>
      <c r="M308" s="12"/>
      <c r="N308" s="12"/>
      <c r="R308" s="13"/>
      <c r="S308" s="13"/>
      <c r="T308" s="13"/>
      <c r="U308" s="13"/>
    </row>
    <row r="309">
      <c r="K309" s="12"/>
      <c r="L309" s="12"/>
      <c r="M309" s="12"/>
      <c r="N309" s="12"/>
      <c r="R309" s="13"/>
      <c r="S309" s="13"/>
      <c r="T309" s="13"/>
      <c r="U309" s="13"/>
    </row>
    <row r="310">
      <c r="K310" s="12"/>
      <c r="L310" s="12"/>
      <c r="M310" s="12"/>
      <c r="N310" s="12"/>
      <c r="R310" s="13"/>
      <c r="S310" s="13"/>
      <c r="T310" s="13"/>
      <c r="U310" s="13"/>
    </row>
    <row r="311">
      <c r="K311" s="12"/>
      <c r="L311" s="12"/>
      <c r="M311" s="12"/>
      <c r="N311" s="12"/>
      <c r="R311" s="13"/>
      <c r="S311" s="13"/>
      <c r="T311" s="13"/>
      <c r="U311" s="13"/>
    </row>
    <row r="312">
      <c r="K312" s="12"/>
      <c r="L312" s="12"/>
      <c r="M312" s="12"/>
      <c r="N312" s="12"/>
      <c r="R312" s="13"/>
      <c r="S312" s="13"/>
      <c r="T312" s="13"/>
      <c r="U312" s="13"/>
    </row>
    <row r="313">
      <c r="K313" s="12"/>
      <c r="L313" s="12"/>
      <c r="M313" s="12"/>
      <c r="N313" s="12"/>
      <c r="R313" s="13"/>
      <c r="S313" s="13"/>
      <c r="T313" s="13"/>
      <c r="U313" s="13"/>
    </row>
    <row r="314">
      <c r="K314" s="12"/>
      <c r="L314" s="12"/>
      <c r="M314" s="12"/>
      <c r="N314" s="12"/>
      <c r="R314" s="13"/>
      <c r="S314" s="13"/>
      <c r="T314" s="13"/>
      <c r="U314" s="13"/>
    </row>
    <row r="315">
      <c r="K315" s="12"/>
      <c r="L315" s="12"/>
      <c r="M315" s="12"/>
      <c r="N315" s="12"/>
      <c r="R315" s="13"/>
      <c r="S315" s="13"/>
      <c r="T315" s="13"/>
      <c r="U315" s="13"/>
    </row>
    <row r="316">
      <c r="K316" s="12"/>
      <c r="L316" s="12"/>
      <c r="M316" s="12"/>
      <c r="N316" s="12"/>
      <c r="R316" s="13"/>
      <c r="S316" s="13"/>
      <c r="T316" s="13"/>
      <c r="U316" s="13"/>
    </row>
    <row r="317">
      <c r="K317" s="12"/>
      <c r="L317" s="12"/>
      <c r="M317" s="12"/>
      <c r="N317" s="12"/>
      <c r="R317" s="13"/>
      <c r="S317" s="13"/>
      <c r="T317" s="13"/>
      <c r="U317" s="13"/>
    </row>
    <row r="318">
      <c r="K318" s="12"/>
      <c r="L318" s="12"/>
      <c r="M318" s="12"/>
      <c r="N318" s="12"/>
      <c r="R318" s="13"/>
      <c r="S318" s="13"/>
      <c r="T318" s="13"/>
      <c r="U318" s="13"/>
    </row>
    <row r="319">
      <c r="K319" s="12"/>
      <c r="L319" s="12"/>
      <c r="M319" s="12"/>
      <c r="N319" s="12"/>
      <c r="R319" s="13"/>
      <c r="S319" s="13"/>
      <c r="T319" s="13"/>
      <c r="U319" s="13"/>
    </row>
    <row r="320">
      <c r="K320" s="12"/>
      <c r="L320" s="12"/>
      <c r="M320" s="12"/>
      <c r="N320" s="12"/>
      <c r="R320" s="13"/>
      <c r="S320" s="13"/>
      <c r="T320" s="13"/>
      <c r="U320" s="13"/>
    </row>
    <row r="321">
      <c r="K321" s="12"/>
      <c r="L321" s="12"/>
      <c r="M321" s="12"/>
      <c r="N321" s="12"/>
      <c r="R321" s="13"/>
      <c r="S321" s="13"/>
      <c r="T321" s="13"/>
      <c r="U321" s="13"/>
    </row>
    <row r="322">
      <c r="K322" s="12"/>
      <c r="L322" s="12"/>
      <c r="M322" s="12"/>
      <c r="N322" s="12"/>
      <c r="R322" s="13"/>
      <c r="S322" s="13"/>
      <c r="T322" s="13"/>
      <c r="U322" s="13"/>
    </row>
    <row r="323">
      <c r="K323" s="12"/>
      <c r="L323" s="12"/>
      <c r="M323" s="12"/>
      <c r="N323" s="12"/>
      <c r="R323" s="13"/>
      <c r="S323" s="13"/>
      <c r="T323" s="13"/>
      <c r="U323" s="13"/>
    </row>
    <row r="324">
      <c r="K324" s="12"/>
      <c r="L324" s="12"/>
      <c r="M324" s="12"/>
      <c r="N324" s="12"/>
      <c r="R324" s="13"/>
      <c r="S324" s="13"/>
      <c r="T324" s="13"/>
      <c r="U324" s="13"/>
    </row>
    <row r="325">
      <c r="K325" s="12"/>
      <c r="L325" s="12"/>
      <c r="M325" s="12"/>
      <c r="N325" s="12"/>
      <c r="R325" s="13"/>
      <c r="S325" s="13"/>
      <c r="T325" s="13"/>
      <c r="U325" s="13"/>
    </row>
    <row r="326">
      <c r="K326" s="12"/>
      <c r="L326" s="12"/>
      <c r="M326" s="12"/>
      <c r="N326" s="12"/>
      <c r="R326" s="13"/>
      <c r="S326" s="13"/>
      <c r="T326" s="13"/>
      <c r="U326" s="13"/>
    </row>
    <row r="327">
      <c r="K327" s="12"/>
      <c r="L327" s="12"/>
      <c r="M327" s="12"/>
      <c r="N327" s="12"/>
      <c r="R327" s="13"/>
      <c r="S327" s="13"/>
      <c r="T327" s="13"/>
      <c r="U327" s="13"/>
    </row>
    <row r="328">
      <c r="K328" s="12"/>
      <c r="L328" s="12"/>
      <c r="M328" s="12"/>
      <c r="N328" s="12"/>
      <c r="R328" s="13"/>
      <c r="S328" s="13"/>
      <c r="T328" s="13"/>
      <c r="U328" s="13"/>
    </row>
    <row r="329">
      <c r="K329" s="12"/>
      <c r="L329" s="12"/>
      <c r="M329" s="12"/>
      <c r="N329" s="12"/>
      <c r="R329" s="13"/>
      <c r="S329" s="13"/>
      <c r="T329" s="13"/>
      <c r="U329" s="13"/>
    </row>
    <row r="330">
      <c r="K330" s="12"/>
      <c r="L330" s="12"/>
      <c r="M330" s="12"/>
      <c r="N330" s="12"/>
      <c r="R330" s="13"/>
      <c r="S330" s="13"/>
      <c r="T330" s="13"/>
      <c r="U330" s="13"/>
    </row>
    <row r="331">
      <c r="K331" s="12"/>
      <c r="L331" s="12"/>
      <c r="M331" s="12"/>
      <c r="N331" s="12"/>
      <c r="R331" s="13"/>
      <c r="S331" s="13"/>
      <c r="T331" s="13"/>
      <c r="U331" s="13"/>
    </row>
    <row r="332">
      <c r="K332" s="12"/>
      <c r="L332" s="12"/>
      <c r="M332" s="12"/>
      <c r="N332" s="12"/>
      <c r="R332" s="13"/>
      <c r="S332" s="13"/>
      <c r="T332" s="13"/>
      <c r="U332" s="13"/>
    </row>
    <row r="333">
      <c r="K333" s="12"/>
      <c r="L333" s="12"/>
      <c r="M333" s="12"/>
      <c r="N333" s="12"/>
      <c r="R333" s="13"/>
      <c r="S333" s="13"/>
      <c r="T333" s="13"/>
      <c r="U333" s="13"/>
    </row>
    <row r="334">
      <c r="K334" s="12"/>
      <c r="L334" s="12"/>
      <c r="M334" s="12"/>
      <c r="N334" s="12"/>
      <c r="R334" s="13"/>
      <c r="S334" s="13"/>
      <c r="T334" s="13"/>
      <c r="U334" s="13"/>
    </row>
    <row r="335">
      <c r="K335" s="12"/>
      <c r="L335" s="12"/>
      <c r="M335" s="12"/>
      <c r="N335" s="12"/>
      <c r="R335" s="13"/>
      <c r="S335" s="13"/>
      <c r="T335" s="13"/>
      <c r="U335" s="13"/>
    </row>
    <row r="336">
      <c r="K336" s="12"/>
      <c r="L336" s="12"/>
      <c r="M336" s="12"/>
      <c r="N336" s="12"/>
      <c r="R336" s="13"/>
      <c r="S336" s="13"/>
      <c r="T336" s="13"/>
      <c r="U336" s="13"/>
    </row>
    <row r="337">
      <c r="K337" s="12"/>
      <c r="L337" s="12"/>
      <c r="M337" s="12"/>
      <c r="N337" s="12"/>
      <c r="R337" s="13"/>
      <c r="S337" s="13"/>
      <c r="T337" s="13"/>
      <c r="U337" s="13"/>
    </row>
    <row r="338">
      <c r="K338" s="12"/>
      <c r="L338" s="12"/>
      <c r="M338" s="12"/>
      <c r="N338" s="12"/>
      <c r="R338" s="13"/>
      <c r="S338" s="13"/>
      <c r="T338" s="13"/>
      <c r="U338" s="13"/>
    </row>
    <row r="339">
      <c r="K339" s="12"/>
      <c r="L339" s="12"/>
      <c r="M339" s="12"/>
      <c r="N339" s="12"/>
      <c r="R339" s="13"/>
      <c r="S339" s="13"/>
      <c r="T339" s="13"/>
      <c r="U339" s="13"/>
    </row>
    <row r="340">
      <c r="K340" s="12"/>
      <c r="L340" s="12"/>
      <c r="M340" s="12"/>
      <c r="N340" s="12"/>
      <c r="R340" s="13"/>
      <c r="S340" s="13"/>
      <c r="T340" s="13"/>
      <c r="U340" s="13"/>
    </row>
    <row r="341">
      <c r="K341" s="12"/>
      <c r="L341" s="12"/>
      <c r="M341" s="12"/>
      <c r="N341" s="12"/>
      <c r="R341" s="13"/>
      <c r="S341" s="13"/>
      <c r="T341" s="13"/>
      <c r="U341" s="13"/>
    </row>
    <row r="342">
      <c r="K342" s="12"/>
      <c r="L342" s="12"/>
      <c r="M342" s="12"/>
      <c r="N342" s="12"/>
      <c r="R342" s="13"/>
      <c r="S342" s="13"/>
      <c r="T342" s="13"/>
      <c r="U342" s="13"/>
    </row>
    <row r="343">
      <c r="K343" s="12"/>
      <c r="L343" s="12"/>
      <c r="M343" s="12"/>
      <c r="N343" s="12"/>
      <c r="R343" s="13"/>
      <c r="S343" s="13"/>
      <c r="T343" s="13"/>
      <c r="U343" s="13"/>
    </row>
    <row r="344">
      <c r="K344" s="12"/>
      <c r="L344" s="12"/>
      <c r="M344" s="12"/>
      <c r="N344" s="12"/>
      <c r="R344" s="13"/>
      <c r="S344" s="13"/>
      <c r="T344" s="13"/>
      <c r="U344" s="13"/>
    </row>
    <row r="345">
      <c r="K345" s="12"/>
      <c r="L345" s="12"/>
      <c r="M345" s="12"/>
      <c r="N345" s="12"/>
      <c r="R345" s="13"/>
      <c r="S345" s="13"/>
      <c r="T345" s="13"/>
      <c r="U345" s="13"/>
    </row>
    <row r="346">
      <c r="K346" s="12"/>
      <c r="L346" s="12"/>
      <c r="M346" s="12"/>
      <c r="N346" s="12"/>
      <c r="R346" s="13"/>
      <c r="S346" s="13"/>
      <c r="T346" s="13"/>
      <c r="U346" s="13"/>
    </row>
    <row r="347">
      <c r="K347" s="12"/>
      <c r="L347" s="12"/>
      <c r="M347" s="12"/>
      <c r="N347" s="12"/>
      <c r="R347" s="13"/>
      <c r="S347" s="13"/>
      <c r="T347" s="13"/>
      <c r="U347" s="13"/>
    </row>
    <row r="348">
      <c r="K348" s="12"/>
      <c r="L348" s="12"/>
      <c r="M348" s="12"/>
      <c r="N348" s="12"/>
      <c r="R348" s="13"/>
      <c r="S348" s="13"/>
      <c r="T348" s="13"/>
      <c r="U348" s="13"/>
    </row>
    <row r="349">
      <c r="K349" s="12"/>
      <c r="L349" s="12"/>
      <c r="M349" s="12"/>
      <c r="N349" s="12"/>
      <c r="R349" s="13"/>
      <c r="S349" s="13"/>
      <c r="T349" s="13"/>
      <c r="U349" s="13"/>
    </row>
    <row r="350">
      <c r="K350" s="12"/>
      <c r="L350" s="12"/>
      <c r="M350" s="12"/>
      <c r="N350" s="12"/>
      <c r="R350" s="13"/>
      <c r="S350" s="13"/>
      <c r="T350" s="13"/>
      <c r="U350" s="13"/>
    </row>
    <row r="351">
      <c r="K351" s="12"/>
      <c r="L351" s="12"/>
      <c r="M351" s="12"/>
      <c r="N351" s="12"/>
      <c r="R351" s="13"/>
      <c r="S351" s="13"/>
      <c r="T351" s="13"/>
      <c r="U351" s="13"/>
    </row>
    <row r="352">
      <c r="K352" s="12"/>
      <c r="L352" s="12"/>
      <c r="M352" s="12"/>
      <c r="N352" s="12"/>
      <c r="R352" s="13"/>
      <c r="S352" s="13"/>
      <c r="T352" s="13"/>
      <c r="U352" s="13"/>
    </row>
    <row r="353">
      <c r="K353" s="12"/>
      <c r="L353" s="12"/>
      <c r="M353" s="12"/>
      <c r="N353" s="12"/>
      <c r="R353" s="13"/>
      <c r="S353" s="13"/>
      <c r="T353" s="13"/>
      <c r="U353" s="13"/>
    </row>
    <row r="354">
      <c r="K354" s="12"/>
      <c r="L354" s="12"/>
      <c r="M354" s="12"/>
      <c r="N354" s="12"/>
      <c r="R354" s="13"/>
      <c r="S354" s="13"/>
      <c r="T354" s="13"/>
      <c r="U354" s="13"/>
    </row>
    <row r="355">
      <c r="K355" s="12"/>
      <c r="L355" s="12"/>
      <c r="M355" s="12"/>
      <c r="N355" s="12"/>
      <c r="R355" s="13"/>
      <c r="S355" s="13"/>
      <c r="T355" s="13"/>
      <c r="U355" s="13"/>
    </row>
    <row r="356">
      <c r="K356" s="12"/>
      <c r="L356" s="12"/>
      <c r="M356" s="12"/>
      <c r="N356" s="12"/>
      <c r="R356" s="13"/>
      <c r="S356" s="13"/>
      <c r="T356" s="13"/>
      <c r="U356" s="13"/>
    </row>
    <row r="357">
      <c r="K357" s="12"/>
      <c r="L357" s="12"/>
      <c r="M357" s="12"/>
      <c r="N357" s="12"/>
      <c r="R357" s="13"/>
      <c r="S357" s="13"/>
      <c r="T357" s="13"/>
      <c r="U357" s="13"/>
    </row>
    <row r="358">
      <c r="K358" s="12"/>
      <c r="L358" s="12"/>
      <c r="M358" s="12"/>
      <c r="N358" s="12"/>
      <c r="R358" s="13"/>
      <c r="S358" s="13"/>
      <c r="T358" s="13"/>
      <c r="U358" s="13"/>
    </row>
    <row r="359">
      <c r="K359" s="12"/>
      <c r="L359" s="12"/>
      <c r="M359" s="12"/>
      <c r="N359" s="12"/>
      <c r="R359" s="13"/>
      <c r="S359" s="13"/>
      <c r="T359" s="13"/>
      <c r="U359" s="13"/>
    </row>
    <row r="360">
      <c r="K360" s="12"/>
      <c r="L360" s="12"/>
      <c r="M360" s="12"/>
      <c r="N360" s="12"/>
      <c r="R360" s="13"/>
      <c r="S360" s="13"/>
      <c r="T360" s="13"/>
      <c r="U360" s="13"/>
    </row>
    <row r="361">
      <c r="K361" s="12"/>
      <c r="L361" s="12"/>
      <c r="M361" s="12"/>
      <c r="N361" s="12"/>
      <c r="R361" s="13"/>
      <c r="S361" s="13"/>
      <c r="T361" s="13"/>
      <c r="U361" s="13"/>
    </row>
    <row r="362">
      <c r="K362" s="12"/>
      <c r="L362" s="12"/>
      <c r="M362" s="12"/>
      <c r="N362" s="12"/>
      <c r="R362" s="13"/>
      <c r="S362" s="13"/>
      <c r="T362" s="13"/>
      <c r="U362" s="13"/>
    </row>
    <row r="363">
      <c r="K363" s="12"/>
      <c r="L363" s="12"/>
      <c r="M363" s="12"/>
      <c r="N363" s="12"/>
      <c r="R363" s="13"/>
      <c r="S363" s="13"/>
      <c r="T363" s="13"/>
      <c r="U363" s="13"/>
    </row>
    <row r="364">
      <c r="K364" s="12"/>
      <c r="L364" s="12"/>
      <c r="M364" s="12"/>
      <c r="N364" s="12"/>
      <c r="R364" s="13"/>
      <c r="S364" s="13"/>
      <c r="T364" s="13"/>
      <c r="U364" s="13"/>
    </row>
    <row r="365">
      <c r="K365" s="12"/>
      <c r="L365" s="12"/>
      <c r="M365" s="12"/>
      <c r="N365" s="12"/>
      <c r="R365" s="13"/>
      <c r="S365" s="13"/>
      <c r="T365" s="13"/>
      <c r="U365" s="13"/>
    </row>
    <row r="366">
      <c r="K366" s="12"/>
      <c r="L366" s="12"/>
      <c r="M366" s="12"/>
      <c r="N366" s="12"/>
      <c r="R366" s="13"/>
      <c r="S366" s="13"/>
      <c r="T366" s="13"/>
      <c r="U366" s="13"/>
    </row>
    <row r="367">
      <c r="K367" s="12"/>
      <c r="L367" s="12"/>
      <c r="M367" s="12"/>
      <c r="N367" s="12"/>
      <c r="R367" s="13"/>
      <c r="S367" s="13"/>
      <c r="T367" s="13"/>
      <c r="U367" s="13"/>
    </row>
    <row r="368">
      <c r="K368" s="12"/>
      <c r="L368" s="12"/>
      <c r="M368" s="12"/>
      <c r="N368" s="12"/>
      <c r="R368" s="13"/>
      <c r="S368" s="13"/>
      <c r="T368" s="13"/>
      <c r="U368" s="13"/>
    </row>
    <row r="369">
      <c r="K369" s="12"/>
      <c r="L369" s="12"/>
      <c r="M369" s="12"/>
      <c r="N369" s="12"/>
      <c r="R369" s="13"/>
      <c r="S369" s="13"/>
      <c r="T369" s="13"/>
      <c r="U369" s="13"/>
    </row>
    <row r="370">
      <c r="K370" s="12"/>
      <c r="L370" s="12"/>
      <c r="M370" s="12"/>
      <c r="N370" s="12"/>
      <c r="R370" s="13"/>
      <c r="S370" s="13"/>
      <c r="T370" s="13"/>
      <c r="U370" s="13"/>
    </row>
    <row r="371">
      <c r="K371" s="12"/>
      <c r="L371" s="12"/>
      <c r="M371" s="12"/>
      <c r="N371" s="12"/>
      <c r="R371" s="13"/>
      <c r="S371" s="13"/>
      <c r="T371" s="13"/>
      <c r="U371" s="13"/>
    </row>
    <row r="372">
      <c r="K372" s="12"/>
      <c r="L372" s="12"/>
      <c r="M372" s="12"/>
      <c r="N372" s="12"/>
      <c r="R372" s="13"/>
      <c r="S372" s="13"/>
      <c r="T372" s="13"/>
      <c r="U372" s="13"/>
    </row>
    <row r="373">
      <c r="K373" s="12"/>
      <c r="L373" s="12"/>
      <c r="M373" s="12"/>
      <c r="N373" s="12"/>
      <c r="R373" s="13"/>
      <c r="S373" s="13"/>
      <c r="T373" s="13"/>
      <c r="U373" s="13"/>
    </row>
    <row r="374">
      <c r="K374" s="12"/>
      <c r="L374" s="12"/>
      <c r="M374" s="12"/>
      <c r="N374" s="12"/>
      <c r="R374" s="13"/>
      <c r="S374" s="13"/>
      <c r="T374" s="13"/>
      <c r="U374" s="13"/>
    </row>
    <row r="375">
      <c r="K375" s="12"/>
      <c r="L375" s="12"/>
      <c r="M375" s="12"/>
      <c r="N375" s="12"/>
      <c r="R375" s="13"/>
      <c r="S375" s="13"/>
      <c r="T375" s="13"/>
      <c r="U375" s="13"/>
    </row>
    <row r="376">
      <c r="K376" s="12"/>
      <c r="L376" s="12"/>
      <c r="M376" s="12"/>
      <c r="N376" s="12"/>
      <c r="R376" s="13"/>
      <c r="S376" s="13"/>
      <c r="T376" s="13"/>
      <c r="U376" s="13"/>
    </row>
    <row r="377">
      <c r="K377" s="12"/>
      <c r="L377" s="12"/>
      <c r="M377" s="12"/>
      <c r="N377" s="12"/>
      <c r="R377" s="13"/>
      <c r="S377" s="13"/>
      <c r="T377" s="13"/>
      <c r="U377" s="13"/>
    </row>
    <row r="378">
      <c r="K378" s="12"/>
      <c r="L378" s="12"/>
      <c r="M378" s="12"/>
      <c r="N378" s="12"/>
      <c r="R378" s="13"/>
      <c r="S378" s="13"/>
      <c r="T378" s="13"/>
      <c r="U378" s="13"/>
    </row>
    <row r="379">
      <c r="K379" s="12"/>
      <c r="L379" s="12"/>
      <c r="M379" s="12"/>
      <c r="N379" s="12"/>
      <c r="R379" s="13"/>
      <c r="S379" s="13"/>
      <c r="T379" s="13"/>
      <c r="U379" s="13"/>
    </row>
    <row r="380">
      <c r="K380" s="12"/>
      <c r="L380" s="12"/>
      <c r="M380" s="12"/>
      <c r="N380" s="12"/>
      <c r="R380" s="13"/>
      <c r="S380" s="13"/>
      <c r="T380" s="13"/>
      <c r="U380" s="13"/>
    </row>
    <row r="381">
      <c r="K381" s="12"/>
      <c r="L381" s="12"/>
      <c r="M381" s="12"/>
      <c r="N381" s="12"/>
      <c r="R381" s="13"/>
      <c r="S381" s="13"/>
      <c r="T381" s="13"/>
      <c r="U381" s="13"/>
    </row>
    <row r="382">
      <c r="K382" s="12"/>
      <c r="L382" s="12"/>
      <c r="M382" s="12"/>
      <c r="N382" s="12"/>
      <c r="R382" s="13"/>
      <c r="S382" s="13"/>
      <c r="T382" s="13"/>
      <c r="U382" s="13"/>
    </row>
    <row r="383">
      <c r="K383" s="12"/>
      <c r="L383" s="12"/>
      <c r="M383" s="12"/>
      <c r="N383" s="12"/>
      <c r="R383" s="13"/>
      <c r="S383" s="13"/>
      <c r="T383" s="13"/>
      <c r="U383" s="13"/>
    </row>
    <row r="384">
      <c r="K384" s="12"/>
      <c r="L384" s="12"/>
      <c r="M384" s="12"/>
      <c r="N384" s="12"/>
      <c r="R384" s="13"/>
      <c r="S384" s="13"/>
      <c r="T384" s="13"/>
      <c r="U384" s="13"/>
    </row>
    <row r="385">
      <c r="K385" s="12"/>
      <c r="L385" s="12"/>
      <c r="M385" s="12"/>
      <c r="N385" s="12"/>
      <c r="R385" s="13"/>
      <c r="S385" s="13"/>
      <c r="T385" s="13"/>
      <c r="U385" s="13"/>
    </row>
    <row r="386">
      <c r="K386" s="12"/>
      <c r="L386" s="12"/>
      <c r="M386" s="12"/>
      <c r="N386" s="12"/>
      <c r="R386" s="13"/>
      <c r="S386" s="13"/>
      <c r="T386" s="13"/>
      <c r="U386" s="13"/>
    </row>
    <row r="387">
      <c r="K387" s="12"/>
      <c r="L387" s="12"/>
      <c r="M387" s="12"/>
      <c r="N387" s="12"/>
      <c r="R387" s="13"/>
      <c r="S387" s="13"/>
      <c r="T387" s="13"/>
      <c r="U387" s="13"/>
    </row>
    <row r="388">
      <c r="K388" s="12"/>
      <c r="L388" s="12"/>
      <c r="M388" s="12"/>
      <c r="N388" s="12"/>
      <c r="R388" s="13"/>
      <c r="S388" s="13"/>
      <c r="T388" s="13"/>
      <c r="U388" s="13"/>
    </row>
    <row r="389">
      <c r="K389" s="12"/>
      <c r="L389" s="12"/>
      <c r="M389" s="12"/>
      <c r="N389" s="12"/>
      <c r="R389" s="13"/>
      <c r="S389" s="13"/>
      <c r="T389" s="13"/>
      <c r="U389" s="13"/>
    </row>
    <row r="390">
      <c r="K390" s="12"/>
      <c r="L390" s="12"/>
      <c r="M390" s="12"/>
      <c r="N390" s="12"/>
      <c r="R390" s="13"/>
      <c r="S390" s="13"/>
      <c r="T390" s="13"/>
      <c r="U390" s="13"/>
    </row>
    <row r="391">
      <c r="K391" s="12"/>
      <c r="L391" s="12"/>
      <c r="M391" s="12"/>
      <c r="N391" s="12"/>
      <c r="R391" s="13"/>
      <c r="S391" s="13"/>
      <c r="T391" s="13"/>
      <c r="U391" s="13"/>
    </row>
    <row r="392">
      <c r="K392" s="12"/>
      <c r="L392" s="12"/>
      <c r="M392" s="12"/>
      <c r="N392" s="12"/>
      <c r="R392" s="13"/>
      <c r="S392" s="13"/>
      <c r="T392" s="13"/>
      <c r="U392" s="13"/>
    </row>
    <row r="393">
      <c r="K393" s="12"/>
      <c r="L393" s="12"/>
      <c r="M393" s="12"/>
      <c r="N393" s="12"/>
      <c r="R393" s="13"/>
      <c r="S393" s="13"/>
      <c r="T393" s="13"/>
      <c r="U393" s="13"/>
    </row>
    <row r="394">
      <c r="K394" s="12"/>
      <c r="L394" s="12"/>
      <c r="M394" s="12"/>
      <c r="N394" s="12"/>
      <c r="R394" s="13"/>
      <c r="S394" s="13"/>
      <c r="T394" s="13"/>
      <c r="U394" s="13"/>
    </row>
    <row r="395">
      <c r="K395" s="12"/>
      <c r="L395" s="12"/>
      <c r="M395" s="12"/>
      <c r="N395" s="12"/>
      <c r="R395" s="13"/>
      <c r="S395" s="13"/>
      <c r="T395" s="13"/>
      <c r="U395" s="13"/>
    </row>
    <row r="396">
      <c r="K396" s="12"/>
      <c r="L396" s="12"/>
      <c r="M396" s="12"/>
      <c r="N396" s="12"/>
      <c r="R396" s="13"/>
      <c r="S396" s="13"/>
      <c r="T396" s="13"/>
      <c r="U396" s="13"/>
    </row>
    <row r="397">
      <c r="K397" s="12"/>
      <c r="L397" s="12"/>
      <c r="M397" s="12"/>
      <c r="N397" s="12"/>
      <c r="R397" s="13"/>
      <c r="S397" s="13"/>
      <c r="T397" s="13"/>
      <c r="U397" s="13"/>
    </row>
    <row r="398">
      <c r="K398" s="12"/>
      <c r="L398" s="12"/>
      <c r="M398" s="12"/>
      <c r="N398" s="12"/>
      <c r="R398" s="13"/>
      <c r="S398" s="13"/>
      <c r="T398" s="13"/>
      <c r="U398" s="13"/>
    </row>
    <row r="399">
      <c r="K399" s="12"/>
      <c r="L399" s="12"/>
      <c r="M399" s="12"/>
      <c r="N399" s="12"/>
      <c r="R399" s="13"/>
      <c r="S399" s="13"/>
      <c r="T399" s="13"/>
      <c r="U399" s="13"/>
    </row>
    <row r="400">
      <c r="K400" s="12"/>
      <c r="L400" s="12"/>
      <c r="M400" s="12"/>
      <c r="N400" s="12"/>
      <c r="R400" s="13"/>
      <c r="S400" s="13"/>
      <c r="T400" s="13"/>
      <c r="U400" s="13"/>
    </row>
    <row r="401">
      <c r="K401" s="12"/>
      <c r="L401" s="12"/>
      <c r="M401" s="12"/>
      <c r="N401" s="12"/>
      <c r="R401" s="13"/>
      <c r="S401" s="13"/>
      <c r="T401" s="13"/>
      <c r="U401" s="13"/>
    </row>
    <row r="402">
      <c r="K402" s="12"/>
      <c r="L402" s="12"/>
      <c r="M402" s="12"/>
      <c r="N402" s="12"/>
      <c r="R402" s="13"/>
      <c r="S402" s="13"/>
      <c r="T402" s="13"/>
      <c r="U402" s="13"/>
    </row>
    <row r="403">
      <c r="K403" s="12"/>
      <c r="L403" s="12"/>
      <c r="M403" s="12"/>
      <c r="N403" s="12"/>
      <c r="R403" s="13"/>
      <c r="S403" s="13"/>
      <c r="T403" s="13"/>
      <c r="U403" s="13"/>
    </row>
    <row r="404">
      <c r="K404" s="12"/>
      <c r="L404" s="12"/>
      <c r="M404" s="12"/>
      <c r="N404" s="12"/>
      <c r="R404" s="13"/>
      <c r="S404" s="13"/>
      <c r="T404" s="13"/>
      <c r="U404" s="13"/>
    </row>
    <row r="405">
      <c r="K405" s="12"/>
      <c r="L405" s="12"/>
      <c r="M405" s="12"/>
      <c r="N405" s="12"/>
      <c r="R405" s="13"/>
      <c r="S405" s="13"/>
      <c r="T405" s="13"/>
      <c r="U405" s="13"/>
    </row>
    <row r="406">
      <c r="K406" s="12"/>
      <c r="L406" s="12"/>
      <c r="M406" s="12"/>
      <c r="N406" s="12"/>
      <c r="R406" s="13"/>
      <c r="S406" s="13"/>
      <c r="T406" s="13"/>
      <c r="U406" s="13"/>
    </row>
    <row r="407">
      <c r="K407" s="12"/>
      <c r="L407" s="12"/>
      <c r="M407" s="12"/>
      <c r="N407" s="12"/>
      <c r="R407" s="13"/>
      <c r="S407" s="13"/>
      <c r="T407" s="13"/>
      <c r="U407" s="13"/>
    </row>
    <row r="408">
      <c r="K408" s="12"/>
      <c r="L408" s="12"/>
      <c r="M408" s="12"/>
      <c r="N408" s="12"/>
      <c r="R408" s="13"/>
      <c r="S408" s="13"/>
      <c r="T408" s="13"/>
      <c r="U408" s="13"/>
    </row>
    <row r="409">
      <c r="K409" s="12"/>
      <c r="L409" s="12"/>
      <c r="M409" s="12"/>
      <c r="N409" s="12"/>
      <c r="R409" s="13"/>
      <c r="S409" s="13"/>
      <c r="T409" s="13"/>
      <c r="U409" s="13"/>
    </row>
    <row r="410">
      <c r="K410" s="12"/>
      <c r="L410" s="12"/>
      <c r="M410" s="12"/>
      <c r="N410" s="12"/>
      <c r="R410" s="13"/>
      <c r="S410" s="13"/>
      <c r="T410" s="13"/>
      <c r="U410" s="13"/>
    </row>
    <row r="411">
      <c r="K411" s="12"/>
      <c r="L411" s="12"/>
      <c r="M411" s="12"/>
      <c r="N411" s="12"/>
      <c r="R411" s="13"/>
      <c r="S411" s="13"/>
      <c r="T411" s="13"/>
      <c r="U411" s="13"/>
    </row>
    <row r="412">
      <c r="K412" s="12"/>
      <c r="L412" s="12"/>
      <c r="M412" s="12"/>
      <c r="N412" s="12"/>
      <c r="R412" s="13"/>
      <c r="S412" s="13"/>
      <c r="T412" s="13"/>
      <c r="U412" s="13"/>
    </row>
    <row r="413">
      <c r="K413" s="12"/>
      <c r="L413" s="12"/>
      <c r="M413" s="12"/>
      <c r="N413" s="12"/>
      <c r="R413" s="13"/>
      <c r="S413" s="13"/>
      <c r="T413" s="13"/>
      <c r="U413" s="13"/>
    </row>
    <row r="414">
      <c r="K414" s="12"/>
      <c r="L414" s="12"/>
      <c r="M414" s="12"/>
      <c r="N414" s="12"/>
      <c r="R414" s="13"/>
      <c r="S414" s="13"/>
      <c r="T414" s="13"/>
      <c r="U414" s="13"/>
    </row>
    <row r="415">
      <c r="K415" s="12"/>
      <c r="L415" s="12"/>
      <c r="M415" s="12"/>
      <c r="N415" s="12"/>
      <c r="R415" s="13"/>
      <c r="S415" s="13"/>
      <c r="T415" s="13"/>
      <c r="U415" s="13"/>
    </row>
    <row r="416">
      <c r="K416" s="12"/>
      <c r="L416" s="12"/>
      <c r="M416" s="12"/>
      <c r="N416" s="12"/>
      <c r="R416" s="13"/>
      <c r="S416" s="13"/>
      <c r="T416" s="13"/>
      <c r="U416" s="13"/>
    </row>
    <row r="417">
      <c r="K417" s="12"/>
      <c r="L417" s="12"/>
      <c r="M417" s="12"/>
      <c r="N417" s="12"/>
      <c r="R417" s="13"/>
      <c r="S417" s="13"/>
      <c r="T417" s="13"/>
      <c r="U417" s="13"/>
    </row>
    <row r="418">
      <c r="K418" s="12"/>
      <c r="L418" s="12"/>
      <c r="M418" s="12"/>
      <c r="N418" s="12"/>
      <c r="R418" s="13"/>
      <c r="S418" s="13"/>
      <c r="T418" s="13"/>
      <c r="U418" s="13"/>
    </row>
    <row r="419">
      <c r="K419" s="12"/>
      <c r="L419" s="12"/>
      <c r="M419" s="12"/>
      <c r="N419" s="12"/>
      <c r="R419" s="13"/>
      <c r="S419" s="13"/>
      <c r="T419" s="13"/>
      <c r="U419" s="13"/>
    </row>
    <row r="420">
      <c r="K420" s="12"/>
      <c r="L420" s="12"/>
      <c r="M420" s="12"/>
      <c r="N420" s="12"/>
      <c r="R420" s="13"/>
      <c r="S420" s="13"/>
      <c r="T420" s="13"/>
      <c r="U420" s="13"/>
    </row>
    <row r="421">
      <c r="K421" s="12"/>
      <c r="L421" s="12"/>
      <c r="M421" s="12"/>
      <c r="N421" s="12"/>
      <c r="R421" s="13"/>
      <c r="S421" s="13"/>
      <c r="T421" s="13"/>
      <c r="U421" s="13"/>
    </row>
    <row r="422">
      <c r="K422" s="12"/>
      <c r="L422" s="12"/>
      <c r="M422" s="12"/>
      <c r="N422" s="12"/>
      <c r="R422" s="13"/>
      <c r="S422" s="13"/>
      <c r="T422" s="13"/>
      <c r="U422" s="13"/>
    </row>
    <row r="423">
      <c r="K423" s="12"/>
      <c r="L423" s="12"/>
      <c r="M423" s="12"/>
      <c r="N423" s="12"/>
      <c r="R423" s="13"/>
      <c r="S423" s="13"/>
      <c r="T423" s="13"/>
      <c r="U423" s="13"/>
    </row>
    <row r="424">
      <c r="K424" s="12"/>
      <c r="L424" s="12"/>
      <c r="M424" s="12"/>
      <c r="N424" s="12"/>
      <c r="R424" s="13"/>
      <c r="S424" s="13"/>
      <c r="T424" s="13"/>
      <c r="U424" s="13"/>
    </row>
    <row r="425">
      <c r="K425" s="12"/>
      <c r="L425" s="12"/>
      <c r="M425" s="12"/>
      <c r="N425" s="12"/>
      <c r="R425" s="13"/>
      <c r="S425" s="13"/>
      <c r="T425" s="13"/>
      <c r="U425" s="13"/>
    </row>
    <row r="426">
      <c r="K426" s="12"/>
      <c r="L426" s="12"/>
      <c r="M426" s="12"/>
      <c r="N426" s="12"/>
      <c r="R426" s="13"/>
      <c r="S426" s="13"/>
      <c r="T426" s="13"/>
      <c r="U426" s="13"/>
    </row>
    <row r="427">
      <c r="K427" s="12"/>
      <c r="L427" s="12"/>
      <c r="M427" s="12"/>
      <c r="N427" s="12"/>
      <c r="R427" s="13"/>
      <c r="S427" s="13"/>
      <c r="T427" s="13"/>
      <c r="U427" s="13"/>
    </row>
    <row r="428">
      <c r="K428" s="12"/>
      <c r="L428" s="12"/>
      <c r="M428" s="12"/>
      <c r="N428" s="12"/>
      <c r="R428" s="13"/>
      <c r="S428" s="13"/>
      <c r="T428" s="13"/>
      <c r="U428" s="13"/>
    </row>
    <row r="429">
      <c r="K429" s="12"/>
      <c r="L429" s="12"/>
      <c r="M429" s="12"/>
      <c r="N429" s="12"/>
      <c r="R429" s="13"/>
      <c r="S429" s="13"/>
      <c r="T429" s="13"/>
      <c r="U429" s="13"/>
    </row>
    <row r="430">
      <c r="K430" s="12"/>
      <c r="L430" s="12"/>
      <c r="M430" s="12"/>
      <c r="N430" s="12"/>
      <c r="R430" s="13"/>
      <c r="S430" s="13"/>
      <c r="T430" s="13"/>
      <c r="U430" s="13"/>
    </row>
    <row r="431">
      <c r="K431" s="12"/>
      <c r="L431" s="12"/>
      <c r="M431" s="12"/>
      <c r="N431" s="12"/>
      <c r="R431" s="13"/>
      <c r="S431" s="13"/>
      <c r="T431" s="13"/>
      <c r="U431" s="13"/>
    </row>
    <row r="432">
      <c r="K432" s="12"/>
      <c r="L432" s="12"/>
      <c r="M432" s="12"/>
      <c r="N432" s="12"/>
      <c r="R432" s="13"/>
      <c r="S432" s="13"/>
      <c r="T432" s="13"/>
      <c r="U432" s="13"/>
    </row>
    <row r="433">
      <c r="K433" s="12"/>
      <c r="L433" s="12"/>
      <c r="M433" s="12"/>
      <c r="N433" s="12"/>
      <c r="R433" s="13"/>
      <c r="S433" s="13"/>
      <c r="T433" s="13"/>
      <c r="U433" s="13"/>
    </row>
    <row r="434">
      <c r="K434" s="12"/>
      <c r="L434" s="12"/>
      <c r="M434" s="12"/>
      <c r="N434" s="12"/>
      <c r="R434" s="13"/>
      <c r="S434" s="13"/>
      <c r="T434" s="13"/>
      <c r="U434" s="13"/>
    </row>
    <row r="435">
      <c r="K435" s="12"/>
      <c r="L435" s="12"/>
      <c r="M435" s="12"/>
      <c r="N435" s="12"/>
      <c r="R435" s="13"/>
      <c r="S435" s="13"/>
      <c r="T435" s="13"/>
      <c r="U435" s="13"/>
    </row>
    <row r="436">
      <c r="K436" s="12"/>
      <c r="L436" s="12"/>
      <c r="M436" s="12"/>
      <c r="N436" s="12"/>
      <c r="R436" s="13"/>
      <c r="S436" s="13"/>
      <c r="T436" s="13"/>
      <c r="U436" s="13"/>
    </row>
    <row r="437">
      <c r="K437" s="12"/>
      <c r="L437" s="12"/>
      <c r="M437" s="12"/>
      <c r="N437" s="12"/>
      <c r="R437" s="13"/>
      <c r="S437" s="13"/>
      <c r="T437" s="13"/>
      <c r="U437" s="13"/>
    </row>
    <row r="438">
      <c r="K438" s="12"/>
      <c r="L438" s="12"/>
      <c r="M438" s="12"/>
      <c r="N438" s="12"/>
      <c r="R438" s="13"/>
      <c r="S438" s="13"/>
      <c r="T438" s="13"/>
      <c r="U438" s="13"/>
    </row>
    <row r="439">
      <c r="K439" s="12"/>
      <c r="L439" s="12"/>
      <c r="M439" s="12"/>
      <c r="N439" s="12"/>
      <c r="R439" s="13"/>
      <c r="S439" s="13"/>
      <c r="T439" s="13"/>
      <c r="U439" s="13"/>
    </row>
    <row r="440">
      <c r="K440" s="12"/>
      <c r="L440" s="12"/>
      <c r="M440" s="12"/>
      <c r="N440" s="12"/>
      <c r="R440" s="13"/>
      <c r="S440" s="13"/>
      <c r="T440" s="13"/>
      <c r="U440" s="13"/>
    </row>
    <row r="441">
      <c r="K441" s="12"/>
      <c r="L441" s="12"/>
      <c r="M441" s="12"/>
      <c r="N441" s="12"/>
      <c r="R441" s="13"/>
      <c r="S441" s="13"/>
      <c r="T441" s="13"/>
      <c r="U441" s="13"/>
    </row>
    <row r="442">
      <c r="K442" s="12"/>
      <c r="L442" s="12"/>
      <c r="M442" s="12"/>
      <c r="N442" s="12"/>
      <c r="R442" s="13"/>
      <c r="S442" s="13"/>
      <c r="T442" s="13"/>
      <c r="U442" s="13"/>
    </row>
    <row r="443">
      <c r="K443" s="12"/>
      <c r="L443" s="12"/>
      <c r="M443" s="12"/>
      <c r="N443" s="12"/>
      <c r="R443" s="13"/>
      <c r="S443" s="13"/>
      <c r="T443" s="13"/>
      <c r="U443" s="13"/>
    </row>
    <row r="444">
      <c r="K444" s="12"/>
      <c r="L444" s="12"/>
      <c r="M444" s="12"/>
      <c r="N444" s="12"/>
      <c r="R444" s="13"/>
      <c r="S444" s="13"/>
      <c r="T444" s="13"/>
      <c r="U444" s="13"/>
    </row>
    <row r="445">
      <c r="K445" s="12"/>
      <c r="L445" s="12"/>
      <c r="M445" s="12"/>
      <c r="N445" s="12"/>
      <c r="R445" s="13"/>
      <c r="S445" s="13"/>
      <c r="T445" s="13"/>
      <c r="U445" s="13"/>
    </row>
    <row r="446">
      <c r="K446" s="12"/>
      <c r="L446" s="12"/>
      <c r="M446" s="12"/>
      <c r="N446" s="12"/>
      <c r="R446" s="13"/>
      <c r="S446" s="13"/>
      <c r="T446" s="13"/>
      <c r="U446" s="13"/>
    </row>
    <row r="447">
      <c r="K447" s="12"/>
      <c r="L447" s="12"/>
      <c r="M447" s="12"/>
      <c r="N447" s="12"/>
      <c r="R447" s="13"/>
      <c r="S447" s="13"/>
      <c r="T447" s="13"/>
      <c r="U447" s="13"/>
    </row>
    <row r="448">
      <c r="K448" s="12"/>
      <c r="L448" s="12"/>
      <c r="M448" s="12"/>
      <c r="N448" s="12"/>
      <c r="R448" s="13"/>
      <c r="S448" s="13"/>
      <c r="T448" s="13"/>
      <c r="U448" s="13"/>
    </row>
    <row r="449">
      <c r="K449" s="12"/>
      <c r="L449" s="12"/>
      <c r="M449" s="12"/>
      <c r="N449" s="12"/>
      <c r="R449" s="13"/>
      <c r="S449" s="13"/>
      <c r="T449" s="13"/>
      <c r="U449" s="13"/>
    </row>
    <row r="450">
      <c r="K450" s="12"/>
      <c r="L450" s="12"/>
      <c r="M450" s="12"/>
      <c r="N450" s="12"/>
      <c r="R450" s="13"/>
      <c r="S450" s="13"/>
      <c r="T450" s="13"/>
      <c r="U450" s="13"/>
    </row>
    <row r="451">
      <c r="K451" s="12"/>
      <c r="L451" s="12"/>
      <c r="M451" s="12"/>
      <c r="N451" s="12"/>
      <c r="R451" s="13"/>
      <c r="S451" s="13"/>
      <c r="T451" s="13"/>
      <c r="U451" s="13"/>
    </row>
    <row r="452">
      <c r="K452" s="12"/>
      <c r="L452" s="12"/>
      <c r="M452" s="12"/>
      <c r="N452" s="12"/>
      <c r="R452" s="13"/>
      <c r="S452" s="13"/>
      <c r="T452" s="13"/>
      <c r="U452" s="13"/>
    </row>
    <row r="453">
      <c r="K453" s="12"/>
      <c r="L453" s="12"/>
      <c r="M453" s="12"/>
      <c r="N453" s="12"/>
      <c r="R453" s="13"/>
      <c r="S453" s="13"/>
      <c r="T453" s="13"/>
      <c r="U453" s="13"/>
    </row>
    <row r="454">
      <c r="K454" s="12"/>
      <c r="L454" s="12"/>
      <c r="M454" s="12"/>
      <c r="N454" s="12"/>
      <c r="R454" s="13"/>
      <c r="S454" s="13"/>
      <c r="T454" s="13"/>
      <c r="U454" s="13"/>
    </row>
    <row r="455">
      <c r="K455" s="12"/>
      <c r="L455" s="12"/>
      <c r="M455" s="12"/>
      <c r="N455" s="12"/>
      <c r="R455" s="13"/>
      <c r="S455" s="13"/>
      <c r="T455" s="13"/>
      <c r="U455" s="13"/>
    </row>
    <row r="456">
      <c r="K456" s="12"/>
      <c r="L456" s="12"/>
      <c r="M456" s="12"/>
      <c r="N456" s="12"/>
      <c r="R456" s="13"/>
      <c r="S456" s="13"/>
      <c r="T456" s="13"/>
      <c r="U456" s="13"/>
    </row>
    <row r="457">
      <c r="K457" s="12"/>
      <c r="L457" s="12"/>
      <c r="M457" s="12"/>
      <c r="N457" s="12"/>
      <c r="R457" s="13"/>
      <c r="S457" s="13"/>
      <c r="T457" s="13"/>
      <c r="U457" s="13"/>
    </row>
    <row r="458">
      <c r="K458" s="12"/>
      <c r="L458" s="12"/>
      <c r="M458" s="12"/>
      <c r="N458" s="12"/>
      <c r="R458" s="13"/>
      <c r="S458" s="13"/>
      <c r="T458" s="13"/>
      <c r="U458" s="13"/>
    </row>
    <row r="459">
      <c r="K459" s="12"/>
      <c r="L459" s="12"/>
      <c r="M459" s="12"/>
      <c r="N459" s="12"/>
      <c r="R459" s="13"/>
      <c r="S459" s="13"/>
      <c r="T459" s="13"/>
      <c r="U459" s="13"/>
    </row>
    <row r="460">
      <c r="K460" s="12"/>
      <c r="L460" s="12"/>
      <c r="M460" s="12"/>
      <c r="N460" s="12"/>
      <c r="R460" s="13"/>
      <c r="S460" s="13"/>
      <c r="T460" s="13"/>
      <c r="U460" s="13"/>
    </row>
    <row r="461">
      <c r="K461" s="12"/>
      <c r="L461" s="12"/>
      <c r="M461" s="12"/>
      <c r="N461" s="12"/>
      <c r="R461" s="13"/>
      <c r="S461" s="13"/>
      <c r="T461" s="13"/>
      <c r="U461" s="13"/>
    </row>
    <row r="462">
      <c r="K462" s="12"/>
      <c r="L462" s="12"/>
      <c r="M462" s="12"/>
      <c r="N462" s="12"/>
      <c r="R462" s="13"/>
      <c r="S462" s="13"/>
      <c r="T462" s="13"/>
      <c r="U462" s="13"/>
    </row>
    <row r="463">
      <c r="K463" s="12"/>
      <c r="L463" s="12"/>
      <c r="M463" s="12"/>
      <c r="N463" s="12"/>
      <c r="R463" s="13"/>
      <c r="S463" s="13"/>
      <c r="T463" s="13"/>
      <c r="U463" s="13"/>
    </row>
    <row r="464">
      <c r="K464" s="12"/>
      <c r="L464" s="12"/>
      <c r="M464" s="12"/>
      <c r="N464" s="12"/>
      <c r="R464" s="13"/>
      <c r="S464" s="13"/>
      <c r="T464" s="13"/>
      <c r="U464" s="13"/>
    </row>
    <row r="465">
      <c r="K465" s="12"/>
      <c r="L465" s="12"/>
      <c r="M465" s="12"/>
      <c r="N465" s="12"/>
      <c r="R465" s="13"/>
      <c r="S465" s="13"/>
      <c r="T465" s="13"/>
      <c r="U465" s="13"/>
    </row>
    <row r="466">
      <c r="K466" s="12"/>
      <c r="L466" s="12"/>
      <c r="M466" s="12"/>
      <c r="N466" s="12"/>
      <c r="R466" s="13"/>
      <c r="S466" s="13"/>
      <c r="T466" s="13"/>
      <c r="U466" s="13"/>
    </row>
    <row r="467">
      <c r="K467" s="12"/>
      <c r="L467" s="12"/>
      <c r="M467" s="12"/>
      <c r="N467" s="12"/>
      <c r="R467" s="13"/>
      <c r="S467" s="13"/>
      <c r="T467" s="13"/>
      <c r="U467" s="13"/>
    </row>
    <row r="468">
      <c r="K468" s="12"/>
      <c r="L468" s="12"/>
      <c r="M468" s="12"/>
      <c r="N468" s="12"/>
      <c r="R468" s="13"/>
      <c r="S468" s="13"/>
      <c r="T468" s="13"/>
      <c r="U468" s="13"/>
    </row>
    <row r="469">
      <c r="K469" s="12"/>
      <c r="L469" s="12"/>
      <c r="M469" s="12"/>
      <c r="N469" s="12"/>
      <c r="R469" s="13"/>
      <c r="S469" s="13"/>
      <c r="T469" s="13"/>
      <c r="U469" s="13"/>
    </row>
    <row r="470">
      <c r="K470" s="12"/>
      <c r="L470" s="12"/>
      <c r="M470" s="12"/>
      <c r="N470" s="12"/>
      <c r="R470" s="13"/>
      <c r="S470" s="13"/>
      <c r="T470" s="13"/>
      <c r="U470" s="13"/>
    </row>
    <row r="471">
      <c r="K471" s="12"/>
      <c r="L471" s="12"/>
      <c r="M471" s="12"/>
      <c r="N471" s="12"/>
      <c r="R471" s="13"/>
      <c r="S471" s="13"/>
      <c r="T471" s="13"/>
      <c r="U471" s="13"/>
    </row>
    <row r="472">
      <c r="K472" s="12"/>
      <c r="L472" s="12"/>
      <c r="M472" s="12"/>
      <c r="N472" s="12"/>
      <c r="R472" s="13"/>
      <c r="S472" s="13"/>
      <c r="T472" s="13"/>
      <c r="U472" s="13"/>
    </row>
    <row r="473">
      <c r="K473" s="12"/>
      <c r="L473" s="12"/>
      <c r="M473" s="12"/>
      <c r="N473" s="12"/>
      <c r="R473" s="13"/>
      <c r="S473" s="13"/>
      <c r="T473" s="13"/>
      <c r="U473" s="13"/>
    </row>
    <row r="474">
      <c r="K474" s="12"/>
      <c r="L474" s="12"/>
      <c r="M474" s="12"/>
      <c r="N474" s="12"/>
      <c r="R474" s="13"/>
      <c r="S474" s="13"/>
      <c r="T474" s="13"/>
      <c r="U474" s="13"/>
    </row>
    <row r="475">
      <c r="K475" s="12"/>
      <c r="L475" s="12"/>
      <c r="M475" s="12"/>
      <c r="N475" s="12"/>
      <c r="R475" s="13"/>
      <c r="S475" s="13"/>
      <c r="T475" s="13"/>
      <c r="U475" s="13"/>
    </row>
    <row r="476">
      <c r="K476" s="12"/>
      <c r="L476" s="12"/>
      <c r="M476" s="12"/>
      <c r="N476" s="12"/>
      <c r="R476" s="13"/>
      <c r="S476" s="13"/>
      <c r="T476" s="13"/>
      <c r="U476" s="13"/>
    </row>
    <row r="477">
      <c r="K477" s="12"/>
      <c r="L477" s="12"/>
      <c r="M477" s="12"/>
      <c r="N477" s="12"/>
      <c r="R477" s="13"/>
      <c r="S477" s="13"/>
      <c r="T477" s="13"/>
      <c r="U477" s="13"/>
    </row>
    <row r="478">
      <c r="K478" s="12"/>
      <c r="L478" s="12"/>
      <c r="M478" s="12"/>
      <c r="N478" s="12"/>
      <c r="R478" s="13"/>
      <c r="S478" s="13"/>
      <c r="T478" s="13"/>
      <c r="U478" s="13"/>
    </row>
    <row r="479">
      <c r="K479" s="12"/>
      <c r="L479" s="12"/>
      <c r="M479" s="12"/>
      <c r="N479" s="12"/>
      <c r="R479" s="13"/>
      <c r="S479" s="13"/>
      <c r="T479" s="13"/>
      <c r="U479" s="13"/>
    </row>
    <row r="480">
      <c r="K480" s="12"/>
      <c r="L480" s="12"/>
      <c r="M480" s="12"/>
      <c r="N480" s="12"/>
      <c r="R480" s="13"/>
      <c r="S480" s="13"/>
      <c r="T480" s="13"/>
      <c r="U480" s="13"/>
    </row>
    <row r="481">
      <c r="K481" s="12"/>
      <c r="L481" s="12"/>
      <c r="M481" s="12"/>
      <c r="N481" s="12"/>
      <c r="R481" s="13"/>
      <c r="S481" s="13"/>
      <c r="T481" s="13"/>
      <c r="U481" s="13"/>
    </row>
    <row r="482">
      <c r="K482" s="12"/>
      <c r="L482" s="12"/>
      <c r="M482" s="12"/>
      <c r="N482" s="12"/>
      <c r="R482" s="13"/>
      <c r="S482" s="13"/>
      <c r="T482" s="13"/>
      <c r="U482" s="13"/>
    </row>
    <row r="483">
      <c r="K483" s="12"/>
      <c r="L483" s="12"/>
      <c r="M483" s="12"/>
      <c r="N483" s="12"/>
      <c r="R483" s="13"/>
      <c r="S483" s="13"/>
      <c r="T483" s="13"/>
      <c r="U483" s="13"/>
    </row>
    <row r="484">
      <c r="K484" s="12"/>
      <c r="L484" s="12"/>
      <c r="M484" s="12"/>
      <c r="N484" s="12"/>
      <c r="R484" s="13"/>
      <c r="S484" s="13"/>
      <c r="T484" s="13"/>
      <c r="U484" s="13"/>
    </row>
    <row r="485">
      <c r="K485" s="12"/>
      <c r="L485" s="12"/>
      <c r="M485" s="12"/>
      <c r="N485" s="12"/>
      <c r="R485" s="13"/>
      <c r="S485" s="13"/>
      <c r="T485" s="13"/>
      <c r="U485" s="13"/>
    </row>
    <row r="486">
      <c r="K486" s="12"/>
      <c r="L486" s="12"/>
      <c r="M486" s="12"/>
      <c r="N486" s="12"/>
      <c r="R486" s="13"/>
      <c r="S486" s="13"/>
      <c r="T486" s="13"/>
      <c r="U486" s="13"/>
    </row>
    <row r="487">
      <c r="K487" s="12"/>
      <c r="L487" s="12"/>
      <c r="M487" s="12"/>
      <c r="N487" s="12"/>
      <c r="R487" s="13"/>
      <c r="S487" s="13"/>
      <c r="T487" s="13"/>
      <c r="U487" s="13"/>
    </row>
    <row r="488">
      <c r="K488" s="12"/>
      <c r="L488" s="12"/>
      <c r="M488" s="12"/>
      <c r="N488" s="12"/>
      <c r="R488" s="13"/>
      <c r="S488" s="13"/>
      <c r="T488" s="13"/>
      <c r="U488" s="13"/>
    </row>
    <row r="489">
      <c r="K489" s="12"/>
      <c r="L489" s="12"/>
      <c r="M489" s="12"/>
      <c r="N489" s="12"/>
      <c r="R489" s="13"/>
      <c r="S489" s="13"/>
      <c r="T489" s="13"/>
      <c r="U489" s="13"/>
    </row>
    <row r="490">
      <c r="K490" s="12"/>
      <c r="L490" s="12"/>
      <c r="M490" s="12"/>
      <c r="N490" s="12"/>
      <c r="R490" s="13"/>
      <c r="S490" s="13"/>
      <c r="T490" s="13"/>
      <c r="U490" s="13"/>
    </row>
    <row r="491">
      <c r="K491" s="12"/>
      <c r="L491" s="12"/>
      <c r="M491" s="12"/>
      <c r="N491" s="12"/>
      <c r="R491" s="13"/>
      <c r="S491" s="13"/>
      <c r="T491" s="13"/>
      <c r="U491" s="13"/>
    </row>
    <row r="492">
      <c r="K492" s="12"/>
      <c r="L492" s="12"/>
      <c r="M492" s="12"/>
      <c r="N492" s="12"/>
      <c r="R492" s="13"/>
      <c r="S492" s="13"/>
      <c r="T492" s="13"/>
      <c r="U492" s="13"/>
    </row>
    <row r="493">
      <c r="K493" s="12"/>
      <c r="L493" s="12"/>
      <c r="M493" s="12"/>
      <c r="N493" s="12"/>
      <c r="R493" s="13"/>
      <c r="S493" s="13"/>
      <c r="T493" s="13"/>
      <c r="U493" s="13"/>
    </row>
    <row r="494">
      <c r="K494" s="12"/>
      <c r="L494" s="12"/>
      <c r="M494" s="12"/>
      <c r="N494" s="12"/>
      <c r="R494" s="13"/>
      <c r="S494" s="13"/>
      <c r="T494" s="13"/>
      <c r="U494" s="13"/>
    </row>
    <row r="495">
      <c r="K495" s="12"/>
      <c r="L495" s="12"/>
      <c r="M495" s="12"/>
      <c r="N495" s="12"/>
      <c r="R495" s="13"/>
      <c r="S495" s="13"/>
      <c r="T495" s="13"/>
      <c r="U495" s="13"/>
    </row>
    <row r="496">
      <c r="K496" s="12"/>
      <c r="L496" s="12"/>
      <c r="M496" s="12"/>
      <c r="N496" s="12"/>
      <c r="R496" s="13"/>
      <c r="S496" s="13"/>
      <c r="T496" s="13"/>
      <c r="U496" s="13"/>
    </row>
    <row r="497">
      <c r="K497" s="12"/>
      <c r="L497" s="12"/>
      <c r="M497" s="12"/>
      <c r="N497" s="12"/>
      <c r="R497" s="13"/>
      <c r="S497" s="13"/>
      <c r="T497" s="13"/>
      <c r="U497" s="13"/>
    </row>
    <row r="498">
      <c r="K498" s="12"/>
      <c r="L498" s="12"/>
      <c r="M498" s="12"/>
      <c r="N498" s="12"/>
      <c r="R498" s="13"/>
      <c r="S498" s="13"/>
      <c r="T498" s="13"/>
      <c r="U498" s="13"/>
    </row>
    <row r="499">
      <c r="K499" s="12"/>
      <c r="L499" s="12"/>
      <c r="M499" s="12"/>
      <c r="N499" s="12"/>
      <c r="R499" s="13"/>
      <c r="S499" s="13"/>
      <c r="T499" s="13"/>
      <c r="U499" s="13"/>
    </row>
    <row r="500">
      <c r="K500" s="12"/>
      <c r="L500" s="12"/>
      <c r="M500" s="12"/>
      <c r="N500" s="12"/>
      <c r="R500" s="13"/>
      <c r="S500" s="13"/>
      <c r="T500" s="13"/>
      <c r="U500" s="13"/>
    </row>
    <row r="501">
      <c r="K501" s="12"/>
      <c r="L501" s="12"/>
      <c r="M501" s="12"/>
      <c r="N501" s="12"/>
      <c r="R501" s="13"/>
      <c r="S501" s="13"/>
      <c r="T501" s="13"/>
      <c r="U501" s="13"/>
    </row>
    <row r="502">
      <c r="K502" s="12"/>
      <c r="L502" s="12"/>
      <c r="M502" s="12"/>
      <c r="N502" s="12"/>
      <c r="R502" s="13"/>
      <c r="S502" s="13"/>
      <c r="T502" s="13"/>
      <c r="U502" s="13"/>
    </row>
    <row r="503">
      <c r="K503" s="12"/>
      <c r="L503" s="12"/>
      <c r="M503" s="12"/>
      <c r="N503" s="12"/>
      <c r="R503" s="13"/>
      <c r="S503" s="13"/>
      <c r="T503" s="13"/>
      <c r="U503" s="13"/>
    </row>
    <row r="504">
      <c r="K504" s="12"/>
      <c r="L504" s="12"/>
      <c r="M504" s="12"/>
      <c r="N504" s="12"/>
      <c r="R504" s="13"/>
      <c r="S504" s="13"/>
      <c r="T504" s="13"/>
      <c r="U504" s="13"/>
    </row>
    <row r="505">
      <c r="K505" s="12"/>
      <c r="L505" s="12"/>
      <c r="M505" s="12"/>
      <c r="N505" s="12"/>
      <c r="R505" s="13"/>
      <c r="S505" s="13"/>
      <c r="T505" s="13"/>
      <c r="U505" s="13"/>
    </row>
    <row r="506">
      <c r="K506" s="12"/>
      <c r="L506" s="12"/>
      <c r="M506" s="12"/>
      <c r="N506" s="12"/>
      <c r="R506" s="13"/>
      <c r="S506" s="13"/>
      <c r="T506" s="13"/>
      <c r="U506" s="13"/>
    </row>
    <row r="507">
      <c r="K507" s="12"/>
      <c r="L507" s="12"/>
      <c r="M507" s="12"/>
      <c r="N507" s="12"/>
      <c r="R507" s="13"/>
      <c r="S507" s="13"/>
      <c r="T507" s="13"/>
      <c r="U507" s="13"/>
    </row>
    <row r="508">
      <c r="K508" s="12"/>
      <c r="L508" s="12"/>
      <c r="M508" s="12"/>
      <c r="N508" s="12"/>
      <c r="R508" s="13"/>
      <c r="S508" s="13"/>
      <c r="T508" s="13"/>
      <c r="U508" s="13"/>
    </row>
    <row r="509">
      <c r="K509" s="12"/>
      <c r="L509" s="12"/>
      <c r="M509" s="12"/>
      <c r="N509" s="12"/>
      <c r="R509" s="13"/>
      <c r="S509" s="13"/>
      <c r="T509" s="13"/>
      <c r="U509" s="13"/>
    </row>
    <row r="510">
      <c r="K510" s="12"/>
      <c r="L510" s="12"/>
      <c r="M510" s="12"/>
      <c r="N510" s="12"/>
      <c r="R510" s="13"/>
      <c r="S510" s="13"/>
      <c r="T510" s="13"/>
      <c r="U510" s="13"/>
    </row>
    <row r="511">
      <c r="K511" s="12"/>
      <c r="L511" s="12"/>
      <c r="M511" s="12"/>
      <c r="N511" s="12"/>
      <c r="R511" s="13"/>
      <c r="S511" s="13"/>
      <c r="T511" s="13"/>
      <c r="U511" s="13"/>
    </row>
    <row r="512">
      <c r="K512" s="12"/>
      <c r="L512" s="12"/>
      <c r="M512" s="12"/>
      <c r="N512" s="12"/>
      <c r="R512" s="13"/>
      <c r="S512" s="13"/>
      <c r="T512" s="13"/>
      <c r="U512" s="13"/>
    </row>
    <row r="513">
      <c r="K513" s="12"/>
      <c r="L513" s="12"/>
      <c r="M513" s="12"/>
      <c r="N513" s="12"/>
      <c r="R513" s="13"/>
      <c r="S513" s="13"/>
      <c r="T513" s="13"/>
      <c r="U513" s="13"/>
    </row>
    <row r="514">
      <c r="K514" s="12"/>
      <c r="L514" s="12"/>
      <c r="M514" s="12"/>
      <c r="N514" s="12"/>
      <c r="R514" s="13"/>
      <c r="S514" s="13"/>
      <c r="T514" s="13"/>
      <c r="U514" s="13"/>
    </row>
    <row r="515">
      <c r="K515" s="12"/>
      <c r="L515" s="12"/>
      <c r="M515" s="12"/>
      <c r="N515" s="12"/>
      <c r="R515" s="13"/>
      <c r="S515" s="13"/>
      <c r="T515" s="13"/>
      <c r="U515" s="13"/>
    </row>
    <row r="516">
      <c r="K516" s="12"/>
      <c r="L516" s="12"/>
      <c r="M516" s="12"/>
      <c r="N516" s="12"/>
      <c r="R516" s="13"/>
      <c r="S516" s="13"/>
      <c r="T516" s="13"/>
      <c r="U516" s="13"/>
    </row>
    <row r="517">
      <c r="K517" s="12"/>
      <c r="L517" s="12"/>
      <c r="M517" s="12"/>
      <c r="N517" s="12"/>
      <c r="R517" s="13"/>
      <c r="S517" s="13"/>
      <c r="T517" s="13"/>
      <c r="U517" s="13"/>
    </row>
    <row r="518">
      <c r="K518" s="12"/>
      <c r="L518" s="12"/>
      <c r="M518" s="12"/>
      <c r="N518" s="12"/>
      <c r="R518" s="13"/>
      <c r="S518" s="13"/>
      <c r="T518" s="13"/>
      <c r="U518" s="13"/>
    </row>
    <row r="519">
      <c r="K519" s="12"/>
      <c r="L519" s="12"/>
      <c r="M519" s="12"/>
      <c r="N519" s="12"/>
      <c r="R519" s="13"/>
      <c r="S519" s="13"/>
      <c r="T519" s="13"/>
      <c r="U519" s="13"/>
    </row>
    <row r="520">
      <c r="K520" s="12"/>
      <c r="L520" s="12"/>
      <c r="M520" s="12"/>
      <c r="N520" s="12"/>
      <c r="R520" s="13"/>
      <c r="S520" s="13"/>
      <c r="T520" s="13"/>
      <c r="U520" s="13"/>
    </row>
    <row r="521">
      <c r="K521" s="12"/>
      <c r="L521" s="12"/>
      <c r="M521" s="12"/>
      <c r="N521" s="12"/>
      <c r="R521" s="13"/>
      <c r="S521" s="13"/>
      <c r="T521" s="13"/>
      <c r="U521" s="13"/>
    </row>
    <row r="522">
      <c r="K522" s="12"/>
      <c r="L522" s="12"/>
      <c r="M522" s="12"/>
      <c r="N522" s="12"/>
      <c r="R522" s="13"/>
      <c r="S522" s="13"/>
      <c r="T522" s="13"/>
      <c r="U522" s="13"/>
    </row>
    <row r="523">
      <c r="K523" s="12"/>
      <c r="L523" s="12"/>
      <c r="M523" s="12"/>
      <c r="N523" s="12"/>
      <c r="R523" s="13"/>
      <c r="S523" s="13"/>
      <c r="T523" s="13"/>
      <c r="U523" s="13"/>
    </row>
    <row r="524">
      <c r="K524" s="12"/>
      <c r="L524" s="12"/>
      <c r="M524" s="12"/>
      <c r="N524" s="12"/>
      <c r="R524" s="13"/>
      <c r="S524" s="13"/>
      <c r="T524" s="13"/>
      <c r="U524" s="13"/>
    </row>
    <row r="525">
      <c r="K525" s="12"/>
      <c r="L525" s="12"/>
      <c r="M525" s="12"/>
      <c r="N525" s="12"/>
      <c r="R525" s="13"/>
      <c r="S525" s="13"/>
      <c r="T525" s="13"/>
      <c r="U525" s="13"/>
    </row>
    <row r="526">
      <c r="K526" s="12"/>
      <c r="L526" s="12"/>
      <c r="M526" s="12"/>
      <c r="N526" s="12"/>
      <c r="R526" s="13"/>
      <c r="S526" s="13"/>
      <c r="T526" s="13"/>
      <c r="U526" s="13"/>
    </row>
    <row r="527">
      <c r="K527" s="12"/>
      <c r="L527" s="12"/>
      <c r="M527" s="12"/>
      <c r="N527" s="12"/>
      <c r="R527" s="13"/>
      <c r="S527" s="13"/>
      <c r="T527" s="13"/>
      <c r="U527" s="13"/>
    </row>
    <row r="528">
      <c r="K528" s="12"/>
      <c r="L528" s="12"/>
      <c r="M528" s="12"/>
      <c r="N528" s="12"/>
      <c r="R528" s="13"/>
      <c r="S528" s="13"/>
      <c r="T528" s="13"/>
      <c r="U528" s="13"/>
    </row>
    <row r="529">
      <c r="K529" s="12"/>
      <c r="L529" s="12"/>
      <c r="M529" s="12"/>
      <c r="N529" s="12"/>
      <c r="R529" s="13"/>
      <c r="S529" s="13"/>
      <c r="T529" s="13"/>
      <c r="U529" s="13"/>
    </row>
    <row r="530">
      <c r="K530" s="12"/>
      <c r="L530" s="12"/>
      <c r="M530" s="12"/>
      <c r="N530" s="12"/>
      <c r="R530" s="13"/>
      <c r="S530" s="13"/>
      <c r="T530" s="13"/>
      <c r="U530" s="13"/>
    </row>
    <row r="531">
      <c r="K531" s="12"/>
      <c r="L531" s="12"/>
      <c r="M531" s="12"/>
      <c r="N531" s="12"/>
      <c r="R531" s="13"/>
      <c r="S531" s="13"/>
      <c r="T531" s="13"/>
      <c r="U531" s="13"/>
    </row>
    <row r="532">
      <c r="K532" s="12"/>
      <c r="L532" s="12"/>
      <c r="M532" s="12"/>
      <c r="N532" s="12"/>
      <c r="R532" s="13"/>
      <c r="S532" s="13"/>
      <c r="T532" s="13"/>
      <c r="U532" s="13"/>
    </row>
    <row r="533">
      <c r="K533" s="12"/>
      <c r="L533" s="12"/>
      <c r="M533" s="12"/>
      <c r="N533" s="12"/>
      <c r="R533" s="13"/>
      <c r="S533" s="13"/>
      <c r="T533" s="13"/>
      <c r="U533" s="13"/>
    </row>
    <row r="534">
      <c r="K534" s="12"/>
      <c r="L534" s="12"/>
      <c r="M534" s="12"/>
      <c r="N534" s="12"/>
      <c r="R534" s="13"/>
      <c r="S534" s="13"/>
      <c r="T534" s="13"/>
      <c r="U534" s="13"/>
    </row>
    <row r="535">
      <c r="K535" s="12"/>
      <c r="L535" s="12"/>
      <c r="M535" s="12"/>
      <c r="N535" s="12"/>
      <c r="R535" s="13"/>
      <c r="S535" s="13"/>
      <c r="T535" s="13"/>
      <c r="U535" s="13"/>
    </row>
    <row r="536">
      <c r="K536" s="12"/>
      <c r="L536" s="12"/>
      <c r="M536" s="12"/>
      <c r="N536" s="12"/>
      <c r="R536" s="13"/>
      <c r="S536" s="13"/>
      <c r="T536" s="13"/>
      <c r="U536" s="13"/>
    </row>
    <row r="537">
      <c r="K537" s="12"/>
      <c r="L537" s="12"/>
      <c r="M537" s="12"/>
      <c r="N537" s="12"/>
      <c r="R537" s="13"/>
      <c r="S537" s="13"/>
      <c r="T537" s="13"/>
      <c r="U537" s="13"/>
    </row>
    <row r="538">
      <c r="K538" s="12"/>
      <c r="L538" s="12"/>
      <c r="M538" s="12"/>
      <c r="N538" s="12"/>
      <c r="R538" s="13"/>
      <c r="S538" s="13"/>
      <c r="T538" s="13"/>
      <c r="U538" s="13"/>
    </row>
    <row r="539">
      <c r="K539" s="12"/>
      <c r="L539" s="12"/>
      <c r="M539" s="12"/>
      <c r="N539" s="12"/>
      <c r="R539" s="13"/>
      <c r="S539" s="13"/>
      <c r="T539" s="13"/>
      <c r="U539" s="13"/>
    </row>
    <row r="540">
      <c r="K540" s="12"/>
      <c r="L540" s="12"/>
      <c r="M540" s="12"/>
      <c r="N540" s="12"/>
      <c r="R540" s="13"/>
      <c r="S540" s="13"/>
      <c r="T540" s="13"/>
      <c r="U540" s="13"/>
    </row>
    <row r="541">
      <c r="K541" s="12"/>
      <c r="L541" s="12"/>
      <c r="M541" s="12"/>
      <c r="N541" s="12"/>
      <c r="R541" s="13"/>
      <c r="S541" s="13"/>
      <c r="T541" s="13"/>
      <c r="U541" s="13"/>
    </row>
    <row r="542">
      <c r="K542" s="12"/>
      <c r="L542" s="12"/>
      <c r="M542" s="12"/>
      <c r="N542" s="12"/>
      <c r="R542" s="13"/>
      <c r="S542" s="13"/>
      <c r="T542" s="13"/>
      <c r="U542" s="13"/>
    </row>
    <row r="543">
      <c r="K543" s="12"/>
      <c r="L543" s="12"/>
      <c r="M543" s="12"/>
      <c r="N543" s="12"/>
      <c r="R543" s="13"/>
      <c r="S543" s="13"/>
      <c r="T543" s="13"/>
      <c r="U543" s="13"/>
    </row>
    <row r="544">
      <c r="K544" s="12"/>
      <c r="L544" s="12"/>
      <c r="M544" s="12"/>
      <c r="N544" s="12"/>
      <c r="R544" s="13"/>
      <c r="S544" s="13"/>
      <c r="T544" s="13"/>
      <c r="U544" s="13"/>
    </row>
    <row r="545">
      <c r="K545" s="12"/>
      <c r="L545" s="12"/>
      <c r="M545" s="12"/>
      <c r="N545" s="12"/>
      <c r="R545" s="13"/>
      <c r="S545" s="13"/>
      <c r="T545" s="13"/>
      <c r="U545" s="13"/>
    </row>
    <row r="546">
      <c r="K546" s="12"/>
      <c r="L546" s="12"/>
      <c r="M546" s="12"/>
      <c r="N546" s="12"/>
      <c r="R546" s="13"/>
      <c r="S546" s="13"/>
      <c r="T546" s="13"/>
      <c r="U546" s="13"/>
    </row>
    <row r="547">
      <c r="K547" s="12"/>
      <c r="L547" s="12"/>
      <c r="M547" s="12"/>
      <c r="N547" s="12"/>
      <c r="R547" s="13"/>
      <c r="S547" s="13"/>
      <c r="T547" s="13"/>
      <c r="U547" s="13"/>
    </row>
    <row r="548">
      <c r="K548" s="12"/>
      <c r="L548" s="12"/>
      <c r="M548" s="12"/>
      <c r="N548" s="12"/>
      <c r="R548" s="13"/>
      <c r="S548" s="13"/>
      <c r="T548" s="13"/>
      <c r="U548" s="13"/>
    </row>
    <row r="549">
      <c r="K549" s="12"/>
      <c r="L549" s="12"/>
      <c r="M549" s="12"/>
      <c r="N549" s="12"/>
      <c r="R549" s="13"/>
      <c r="S549" s="13"/>
      <c r="T549" s="13"/>
      <c r="U549" s="13"/>
    </row>
    <row r="550">
      <c r="K550" s="12"/>
      <c r="L550" s="12"/>
      <c r="M550" s="12"/>
      <c r="N550" s="12"/>
      <c r="R550" s="13"/>
      <c r="S550" s="13"/>
      <c r="T550" s="13"/>
      <c r="U550" s="13"/>
    </row>
    <row r="551">
      <c r="K551" s="12"/>
      <c r="L551" s="12"/>
      <c r="M551" s="12"/>
      <c r="N551" s="12"/>
      <c r="R551" s="13"/>
      <c r="S551" s="13"/>
      <c r="T551" s="13"/>
      <c r="U551" s="13"/>
    </row>
    <row r="552">
      <c r="K552" s="12"/>
      <c r="L552" s="12"/>
      <c r="M552" s="12"/>
      <c r="N552" s="12"/>
      <c r="R552" s="13"/>
      <c r="S552" s="13"/>
      <c r="T552" s="13"/>
      <c r="U552" s="13"/>
    </row>
    <row r="553">
      <c r="K553" s="12"/>
      <c r="L553" s="12"/>
      <c r="M553" s="12"/>
      <c r="N553" s="12"/>
      <c r="R553" s="13"/>
      <c r="S553" s="13"/>
      <c r="T553" s="13"/>
      <c r="U553" s="13"/>
    </row>
    <row r="554">
      <c r="K554" s="12"/>
      <c r="L554" s="12"/>
      <c r="M554" s="12"/>
      <c r="N554" s="12"/>
      <c r="R554" s="13"/>
      <c r="S554" s="13"/>
      <c r="T554" s="13"/>
      <c r="U554" s="13"/>
    </row>
    <row r="555">
      <c r="K555" s="12"/>
      <c r="L555" s="12"/>
      <c r="M555" s="12"/>
      <c r="N555" s="12"/>
      <c r="R555" s="13"/>
      <c r="S555" s="13"/>
      <c r="T555" s="13"/>
      <c r="U555" s="13"/>
    </row>
    <row r="556">
      <c r="K556" s="12"/>
      <c r="L556" s="12"/>
      <c r="M556" s="12"/>
      <c r="N556" s="12"/>
      <c r="R556" s="13"/>
      <c r="S556" s="13"/>
      <c r="T556" s="13"/>
      <c r="U556" s="13"/>
    </row>
    <row r="557">
      <c r="K557" s="12"/>
      <c r="L557" s="12"/>
      <c r="M557" s="12"/>
      <c r="N557" s="12"/>
      <c r="R557" s="13"/>
      <c r="S557" s="13"/>
      <c r="T557" s="13"/>
      <c r="U557" s="13"/>
    </row>
    <row r="558">
      <c r="K558" s="12"/>
      <c r="L558" s="12"/>
      <c r="M558" s="12"/>
      <c r="N558" s="12"/>
      <c r="R558" s="13"/>
      <c r="S558" s="13"/>
      <c r="T558" s="13"/>
      <c r="U558" s="13"/>
    </row>
    <row r="559">
      <c r="K559" s="12"/>
      <c r="L559" s="12"/>
      <c r="M559" s="12"/>
      <c r="N559" s="12"/>
      <c r="R559" s="13"/>
      <c r="S559" s="13"/>
      <c r="T559" s="13"/>
      <c r="U559" s="13"/>
    </row>
    <row r="560">
      <c r="K560" s="12"/>
      <c r="L560" s="12"/>
      <c r="M560" s="12"/>
      <c r="N560" s="12"/>
      <c r="R560" s="13"/>
      <c r="S560" s="13"/>
      <c r="T560" s="13"/>
      <c r="U560" s="13"/>
    </row>
    <row r="561">
      <c r="K561" s="12"/>
      <c r="L561" s="12"/>
      <c r="M561" s="12"/>
      <c r="N561" s="12"/>
      <c r="R561" s="13"/>
      <c r="S561" s="13"/>
      <c r="T561" s="13"/>
      <c r="U561" s="13"/>
    </row>
    <row r="562">
      <c r="K562" s="12"/>
      <c r="L562" s="12"/>
      <c r="M562" s="12"/>
      <c r="N562" s="12"/>
      <c r="R562" s="13"/>
      <c r="S562" s="13"/>
      <c r="T562" s="13"/>
      <c r="U562" s="13"/>
    </row>
    <row r="563">
      <c r="K563" s="12"/>
      <c r="L563" s="12"/>
      <c r="M563" s="12"/>
      <c r="N563" s="12"/>
      <c r="R563" s="13"/>
      <c r="S563" s="13"/>
      <c r="T563" s="13"/>
      <c r="U563" s="13"/>
    </row>
    <row r="564">
      <c r="K564" s="12"/>
      <c r="L564" s="12"/>
      <c r="M564" s="12"/>
      <c r="N564" s="12"/>
      <c r="R564" s="13"/>
      <c r="S564" s="13"/>
      <c r="T564" s="13"/>
      <c r="U564" s="13"/>
    </row>
    <row r="565">
      <c r="K565" s="12"/>
      <c r="L565" s="12"/>
      <c r="M565" s="12"/>
      <c r="N565" s="12"/>
      <c r="R565" s="13"/>
      <c r="S565" s="13"/>
      <c r="T565" s="13"/>
      <c r="U565" s="13"/>
    </row>
    <row r="566">
      <c r="K566" s="12"/>
      <c r="L566" s="12"/>
      <c r="M566" s="12"/>
      <c r="N566" s="12"/>
      <c r="R566" s="13"/>
      <c r="S566" s="13"/>
      <c r="T566" s="13"/>
      <c r="U566" s="13"/>
    </row>
    <row r="567">
      <c r="K567" s="12"/>
      <c r="L567" s="12"/>
      <c r="M567" s="12"/>
      <c r="N567" s="12"/>
      <c r="R567" s="13"/>
      <c r="S567" s="13"/>
      <c r="T567" s="13"/>
      <c r="U567" s="13"/>
    </row>
    <row r="568">
      <c r="K568" s="12"/>
      <c r="L568" s="12"/>
      <c r="M568" s="12"/>
      <c r="N568" s="12"/>
      <c r="R568" s="13"/>
      <c r="S568" s="13"/>
      <c r="T568" s="13"/>
      <c r="U568" s="13"/>
    </row>
    <row r="569">
      <c r="K569" s="12"/>
      <c r="L569" s="12"/>
      <c r="M569" s="12"/>
      <c r="N569" s="12"/>
      <c r="R569" s="13"/>
      <c r="S569" s="13"/>
      <c r="T569" s="13"/>
      <c r="U569" s="13"/>
    </row>
    <row r="570">
      <c r="K570" s="12"/>
      <c r="L570" s="12"/>
      <c r="M570" s="12"/>
      <c r="N570" s="12"/>
      <c r="R570" s="13"/>
      <c r="S570" s="13"/>
      <c r="T570" s="13"/>
      <c r="U570" s="13"/>
    </row>
    <row r="571">
      <c r="K571" s="12"/>
      <c r="L571" s="12"/>
      <c r="M571" s="12"/>
      <c r="N571" s="12"/>
      <c r="R571" s="13"/>
      <c r="S571" s="13"/>
      <c r="T571" s="13"/>
      <c r="U571" s="13"/>
    </row>
    <row r="572">
      <c r="K572" s="12"/>
      <c r="L572" s="12"/>
      <c r="M572" s="12"/>
      <c r="N572" s="12"/>
      <c r="R572" s="13"/>
      <c r="S572" s="13"/>
      <c r="T572" s="13"/>
      <c r="U572" s="13"/>
    </row>
    <row r="573">
      <c r="K573" s="12"/>
      <c r="L573" s="12"/>
      <c r="M573" s="12"/>
      <c r="N573" s="12"/>
      <c r="R573" s="13"/>
      <c r="S573" s="13"/>
      <c r="T573" s="13"/>
      <c r="U573" s="13"/>
    </row>
    <row r="574">
      <c r="K574" s="12"/>
      <c r="L574" s="12"/>
      <c r="M574" s="12"/>
      <c r="N574" s="12"/>
      <c r="R574" s="13"/>
      <c r="S574" s="13"/>
      <c r="T574" s="13"/>
      <c r="U574" s="13"/>
    </row>
    <row r="575">
      <c r="K575" s="12"/>
      <c r="L575" s="12"/>
      <c r="M575" s="12"/>
      <c r="N575" s="12"/>
      <c r="R575" s="13"/>
      <c r="S575" s="13"/>
      <c r="T575" s="13"/>
      <c r="U575" s="13"/>
    </row>
    <row r="576">
      <c r="K576" s="12"/>
      <c r="L576" s="12"/>
      <c r="M576" s="12"/>
      <c r="N576" s="12"/>
      <c r="R576" s="13"/>
      <c r="S576" s="13"/>
      <c r="T576" s="13"/>
      <c r="U576" s="13"/>
    </row>
    <row r="577">
      <c r="K577" s="12"/>
      <c r="L577" s="12"/>
      <c r="M577" s="12"/>
      <c r="N577" s="12"/>
      <c r="R577" s="13"/>
      <c r="S577" s="13"/>
      <c r="T577" s="13"/>
      <c r="U577" s="13"/>
    </row>
    <row r="578">
      <c r="K578" s="12"/>
      <c r="L578" s="12"/>
      <c r="M578" s="12"/>
      <c r="N578" s="12"/>
      <c r="R578" s="13"/>
      <c r="S578" s="13"/>
      <c r="T578" s="13"/>
      <c r="U578" s="13"/>
    </row>
    <row r="579">
      <c r="K579" s="12"/>
      <c r="L579" s="12"/>
      <c r="M579" s="12"/>
      <c r="N579" s="12"/>
      <c r="R579" s="13"/>
      <c r="S579" s="13"/>
      <c r="T579" s="13"/>
      <c r="U579" s="13"/>
    </row>
    <row r="580">
      <c r="K580" s="12"/>
      <c r="L580" s="12"/>
      <c r="M580" s="12"/>
      <c r="N580" s="12"/>
      <c r="R580" s="13"/>
      <c r="S580" s="13"/>
      <c r="T580" s="13"/>
      <c r="U580" s="13"/>
    </row>
    <row r="581">
      <c r="K581" s="12"/>
      <c r="L581" s="12"/>
      <c r="M581" s="12"/>
      <c r="N581" s="12"/>
      <c r="R581" s="13"/>
      <c r="S581" s="13"/>
      <c r="T581" s="13"/>
      <c r="U581" s="13"/>
    </row>
    <row r="582">
      <c r="K582" s="12"/>
      <c r="L582" s="12"/>
      <c r="M582" s="12"/>
      <c r="N582" s="12"/>
      <c r="R582" s="13"/>
      <c r="S582" s="13"/>
      <c r="T582" s="13"/>
      <c r="U582" s="13"/>
    </row>
    <row r="583">
      <c r="K583" s="12"/>
      <c r="L583" s="12"/>
      <c r="M583" s="12"/>
      <c r="N583" s="12"/>
      <c r="R583" s="13"/>
      <c r="S583" s="13"/>
      <c r="T583" s="13"/>
      <c r="U583" s="13"/>
    </row>
    <row r="584">
      <c r="K584" s="12"/>
      <c r="L584" s="12"/>
      <c r="M584" s="12"/>
      <c r="N584" s="12"/>
      <c r="R584" s="13"/>
      <c r="S584" s="13"/>
      <c r="T584" s="13"/>
      <c r="U584" s="13"/>
    </row>
    <row r="585">
      <c r="K585" s="12"/>
      <c r="L585" s="12"/>
      <c r="M585" s="12"/>
      <c r="N585" s="12"/>
      <c r="R585" s="13"/>
      <c r="S585" s="13"/>
      <c r="T585" s="13"/>
      <c r="U585" s="13"/>
    </row>
    <row r="586">
      <c r="K586" s="12"/>
      <c r="L586" s="12"/>
      <c r="M586" s="12"/>
      <c r="N586" s="12"/>
      <c r="R586" s="13"/>
      <c r="S586" s="13"/>
      <c r="T586" s="13"/>
      <c r="U586" s="13"/>
    </row>
    <row r="587">
      <c r="K587" s="12"/>
      <c r="L587" s="12"/>
      <c r="M587" s="12"/>
      <c r="N587" s="12"/>
      <c r="R587" s="13"/>
      <c r="S587" s="13"/>
      <c r="T587" s="13"/>
      <c r="U587" s="13"/>
    </row>
    <row r="588">
      <c r="K588" s="12"/>
      <c r="L588" s="12"/>
      <c r="M588" s="12"/>
      <c r="N588" s="12"/>
      <c r="R588" s="13"/>
      <c r="S588" s="13"/>
      <c r="T588" s="13"/>
      <c r="U588" s="13"/>
    </row>
    <row r="589">
      <c r="K589" s="12"/>
      <c r="L589" s="12"/>
      <c r="M589" s="12"/>
      <c r="N589" s="12"/>
      <c r="R589" s="13"/>
      <c r="S589" s="13"/>
      <c r="T589" s="13"/>
      <c r="U589" s="13"/>
    </row>
    <row r="590">
      <c r="K590" s="12"/>
      <c r="L590" s="12"/>
      <c r="M590" s="12"/>
      <c r="N590" s="12"/>
      <c r="R590" s="13"/>
      <c r="S590" s="13"/>
      <c r="T590" s="13"/>
      <c r="U590" s="13"/>
    </row>
    <row r="591">
      <c r="K591" s="12"/>
      <c r="L591" s="12"/>
      <c r="M591" s="12"/>
      <c r="N591" s="12"/>
      <c r="R591" s="13"/>
      <c r="S591" s="13"/>
      <c r="T591" s="13"/>
      <c r="U591" s="13"/>
    </row>
    <row r="592">
      <c r="K592" s="12"/>
      <c r="L592" s="12"/>
      <c r="M592" s="12"/>
      <c r="N592" s="12"/>
      <c r="R592" s="13"/>
      <c r="S592" s="13"/>
      <c r="T592" s="13"/>
      <c r="U592" s="13"/>
    </row>
    <row r="593">
      <c r="K593" s="12"/>
      <c r="L593" s="12"/>
      <c r="M593" s="12"/>
      <c r="N593" s="12"/>
      <c r="R593" s="13"/>
      <c r="S593" s="13"/>
      <c r="T593" s="13"/>
      <c r="U593" s="13"/>
    </row>
    <row r="594">
      <c r="K594" s="12"/>
      <c r="L594" s="12"/>
      <c r="M594" s="12"/>
      <c r="N594" s="12"/>
      <c r="R594" s="13"/>
      <c r="S594" s="13"/>
      <c r="T594" s="13"/>
      <c r="U594" s="13"/>
    </row>
    <row r="595">
      <c r="K595" s="12"/>
      <c r="L595" s="12"/>
      <c r="M595" s="12"/>
      <c r="N595" s="12"/>
      <c r="R595" s="13"/>
      <c r="S595" s="13"/>
      <c r="T595" s="13"/>
      <c r="U595" s="13"/>
    </row>
    <row r="596">
      <c r="K596" s="12"/>
      <c r="L596" s="12"/>
      <c r="M596" s="12"/>
      <c r="N596" s="12"/>
      <c r="R596" s="13"/>
      <c r="S596" s="13"/>
      <c r="T596" s="13"/>
      <c r="U596" s="13"/>
    </row>
    <row r="597">
      <c r="K597" s="12"/>
      <c r="L597" s="12"/>
      <c r="M597" s="12"/>
      <c r="N597" s="12"/>
      <c r="R597" s="13"/>
      <c r="S597" s="13"/>
      <c r="T597" s="13"/>
      <c r="U597" s="13"/>
    </row>
    <row r="598">
      <c r="K598" s="12"/>
      <c r="L598" s="12"/>
      <c r="M598" s="12"/>
      <c r="N598" s="12"/>
      <c r="R598" s="13"/>
      <c r="S598" s="13"/>
      <c r="T598" s="13"/>
      <c r="U598" s="13"/>
    </row>
    <row r="599">
      <c r="K599" s="12"/>
      <c r="L599" s="12"/>
      <c r="M599" s="12"/>
      <c r="N599" s="12"/>
      <c r="R599" s="13"/>
      <c r="S599" s="13"/>
      <c r="T599" s="13"/>
      <c r="U599" s="13"/>
    </row>
    <row r="600">
      <c r="K600" s="12"/>
      <c r="L600" s="12"/>
      <c r="M600" s="12"/>
      <c r="N600" s="12"/>
      <c r="R600" s="13"/>
      <c r="S600" s="13"/>
      <c r="T600" s="13"/>
      <c r="U600" s="13"/>
    </row>
    <row r="601">
      <c r="K601" s="12"/>
      <c r="L601" s="12"/>
      <c r="M601" s="12"/>
      <c r="N601" s="12"/>
      <c r="R601" s="13"/>
      <c r="S601" s="13"/>
      <c r="T601" s="13"/>
      <c r="U601" s="13"/>
    </row>
    <row r="602">
      <c r="K602" s="12"/>
      <c r="L602" s="12"/>
      <c r="M602" s="12"/>
      <c r="N602" s="12"/>
      <c r="R602" s="13"/>
      <c r="S602" s="13"/>
      <c r="T602" s="13"/>
      <c r="U602" s="13"/>
    </row>
    <row r="603">
      <c r="K603" s="12"/>
      <c r="L603" s="12"/>
      <c r="M603" s="12"/>
      <c r="N603" s="12"/>
      <c r="R603" s="13"/>
      <c r="S603" s="13"/>
      <c r="T603" s="13"/>
      <c r="U603" s="13"/>
    </row>
    <row r="604">
      <c r="K604" s="12"/>
      <c r="L604" s="12"/>
      <c r="M604" s="12"/>
      <c r="N604" s="12"/>
      <c r="R604" s="13"/>
      <c r="S604" s="13"/>
      <c r="T604" s="13"/>
      <c r="U604" s="13"/>
    </row>
    <row r="605">
      <c r="K605" s="12"/>
      <c r="L605" s="12"/>
      <c r="M605" s="12"/>
      <c r="N605" s="12"/>
      <c r="R605" s="13"/>
      <c r="S605" s="13"/>
      <c r="T605" s="13"/>
      <c r="U605" s="13"/>
    </row>
    <row r="606">
      <c r="K606" s="12"/>
      <c r="L606" s="12"/>
      <c r="M606" s="12"/>
      <c r="N606" s="12"/>
      <c r="R606" s="13"/>
      <c r="S606" s="13"/>
      <c r="T606" s="13"/>
      <c r="U606" s="13"/>
    </row>
    <row r="607">
      <c r="K607" s="12"/>
      <c r="L607" s="12"/>
      <c r="M607" s="12"/>
      <c r="N607" s="12"/>
      <c r="R607" s="13"/>
      <c r="S607" s="13"/>
      <c r="T607" s="13"/>
      <c r="U607" s="13"/>
    </row>
    <row r="608">
      <c r="K608" s="12"/>
      <c r="L608" s="12"/>
      <c r="M608" s="12"/>
      <c r="N608" s="12"/>
      <c r="R608" s="13"/>
      <c r="S608" s="13"/>
      <c r="T608" s="13"/>
      <c r="U608" s="13"/>
    </row>
    <row r="609">
      <c r="K609" s="12"/>
      <c r="L609" s="12"/>
      <c r="M609" s="12"/>
      <c r="N609" s="12"/>
      <c r="R609" s="13"/>
      <c r="S609" s="13"/>
      <c r="T609" s="13"/>
      <c r="U609" s="13"/>
    </row>
    <row r="610">
      <c r="K610" s="12"/>
      <c r="L610" s="12"/>
      <c r="M610" s="12"/>
      <c r="N610" s="12"/>
      <c r="R610" s="13"/>
      <c r="S610" s="13"/>
      <c r="T610" s="13"/>
      <c r="U610" s="13"/>
    </row>
    <row r="611">
      <c r="K611" s="12"/>
      <c r="L611" s="12"/>
      <c r="M611" s="12"/>
      <c r="N611" s="12"/>
      <c r="R611" s="13"/>
      <c r="S611" s="13"/>
      <c r="T611" s="13"/>
      <c r="U611" s="13"/>
    </row>
    <row r="612">
      <c r="K612" s="12"/>
      <c r="L612" s="12"/>
      <c r="M612" s="12"/>
      <c r="N612" s="12"/>
      <c r="R612" s="13"/>
      <c r="S612" s="13"/>
      <c r="T612" s="13"/>
      <c r="U612" s="13"/>
    </row>
    <row r="613">
      <c r="K613" s="12"/>
      <c r="L613" s="12"/>
      <c r="M613" s="12"/>
      <c r="N613" s="12"/>
      <c r="R613" s="13"/>
      <c r="S613" s="13"/>
      <c r="T613" s="13"/>
      <c r="U613" s="13"/>
    </row>
    <row r="614">
      <c r="K614" s="12"/>
      <c r="L614" s="12"/>
      <c r="M614" s="12"/>
      <c r="N614" s="12"/>
      <c r="R614" s="13"/>
      <c r="S614" s="13"/>
      <c r="T614" s="13"/>
      <c r="U614" s="13"/>
    </row>
    <row r="615">
      <c r="K615" s="12"/>
      <c r="L615" s="12"/>
      <c r="M615" s="12"/>
      <c r="N615" s="12"/>
      <c r="R615" s="13"/>
      <c r="S615" s="13"/>
      <c r="T615" s="13"/>
      <c r="U615" s="13"/>
    </row>
    <row r="616">
      <c r="K616" s="12"/>
      <c r="L616" s="12"/>
      <c r="M616" s="12"/>
      <c r="N616" s="12"/>
      <c r="R616" s="13"/>
      <c r="S616" s="13"/>
      <c r="T616" s="13"/>
      <c r="U616" s="13"/>
    </row>
    <row r="617">
      <c r="K617" s="12"/>
      <c r="L617" s="12"/>
      <c r="M617" s="12"/>
      <c r="N617" s="12"/>
      <c r="R617" s="13"/>
      <c r="S617" s="13"/>
      <c r="T617" s="13"/>
      <c r="U617" s="13"/>
    </row>
    <row r="618">
      <c r="K618" s="12"/>
      <c r="L618" s="12"/>
      <c r="M618" s="12"/>
      <c r="N618" s="12"/>
      <c r="R618" s="13"/>
      <c r="S618" s="13"/>
      <c r="T618" s="13"/>
      <c r="U618" s="13"/>
    </row>
    <row r="619">
      <c r="K619" s="12"/>
      <c r="L619" s="12"/>
      <c r="M619" s="12"/>
      <c r="N619" s="12"/>
      <c r="R619" s="13"/>
      <c r="S619" s="13"/>
      <c r="T619" s="13"/>
      <c r="U619" s="13"/>
    </row>
    <row r="620">
      <c r="K620" s="12"/>
      <c r="L620" s="12"/>
      <c r="M620" s="12"/>
      <c r="N620" s="12"/>
      <c r="R620" s="13"/>
      <c r="S620" s="13"/>
      <c r="T620" s="13"/>
      <c r="U620" s="13"/>
    </row>
    <row r="621">
      <c r="K621" s="12"/>
      <c r="L621" s="12"/>
      <c r="M621" s="12"/>
      <c r="N621" s="12"/>
      <c r="R621" s="13"/>
      <c r="S621" s="13"/>
      <c r="T621" s="13"/>
      <c r="U621" s="13"/>
    </row>
    <row r="622">
      <c r="K622" s="12"/>
      <c r="L622" s="12"/>
      <c r="M622" s="12"/>
      <c r="N622" s="12"/>
      <c r="R622" s="13"/>
      <c r="S622" s="13"/>
      <c r="T622" s="13"/>
      <c r="U622" s="13"/>
    </row>
    <row r="623">
      <c r="K623" s="12"/>
      <c r="L623" s="12"/>
      <c r="M623" s="12"/>
      <c r="N623" s="12"/>
      <c r="R623" s="13"/>
      <c r="S623" s="13"/>
      <c r="T623" s="13"/>
      <c r="U623" s="13"/>
    </row>
    <row r="624">
      <c r="K624" s="12"/>
      <c r="L624" s="12"/>
      <c r="M624" s="12"/>
      <c r="N624" s="12"/>
      <c r="R624" s="13"/>
      <c r="S624" s="13"/>
      <c r="T624" s="13"/>
      <c r="U624" s="13"/>
    </row>
    <row r="625">
      <c r="K625" s="12"/>
      <c r="L625" s="12"/>
      <c r="M625" s="12"/>
      <c r="N625" s="12"/>
      <c r="R625" s="13"/>
      <c r="S625" s="13"/>
      <c r="T625" s="13"/>
      <c r="U625" s="13"/>
    </row>
    <row r="626">
      <c r="K626" s="12"/>
      <c r="L626" s="12"/>
      <c r="M626" s="12"/>
      <c r="N626" s="12"/>
      <c r="R626" s="13"/>
      <c r="S626" s="13"/>
      <c r="T626" s="13"/>
      <c r="U626" s="13"/>
    </row>
    <row r="627">
      <c r="K627" s="12"/>
      <c r="L627" s="12"/>
      <c r="M627" s="12"/>
      <c r="N627" s="12"/>
      <c r="R627" s="13"/>
      <c r="S627" s="13"/>
      <c r="T627" s="13"/>
      <c r="U627" s="13"/>
    </row>
    <row r="628">
      <c r="K628" s="12"/>
      <c r="L628" s="12"/>
      <c r="M628" s="12"/>
      <c r="N628" s="12"/>
      <c r="R628" s="13"/>
      <c r="S628" s="13"/>
      <c r="T628" s="13"/>
      <c r="U628" s="13"/>
    </row>
    <row r="629">
      <c r="K629" s="12"/>
      <c r="L629" s="12"/>
      <c r="M629" s="12"/>
      <c r="N629" s="12"/>
      <c r="R629" s="13"/>
      <c r="S629" s="13"/>
      <c r="T629" s="13"/>
      <c r="U629" s="13"/>
    </row>
    <row r="630">
      <c r="K630" s="12"/>
      <c r="L630" s="12"/>
      <c r="M630" s="12"/>
      <c r="N630" s="12"/>
      <c r="R630" s="13"/>
      <c r="S630" s="13"/>
      <c r="T630" s="13"/>
      <c r="U630" s="13"/>
    </row>
    <row r="631">
      <c r="K631" s="12"/>
      <c r="L631" s="12"/>
      <c r="M631" s="12"/>
      <c r="N631" s="12"/>
      <c r="R631" s="13"/>
      <c r="S631" s="13"/>
      <c r="T631" s="13"/>
      <c r="U631" s="13"/>
    </row>
    <row r="632">
      <c r="K632" s="12"/>
      <c r="L632" s="12"/>
      <c r="M632" s="12"/>
      <c r="N632" s="12"/>
      <c r="R632" s="13"/>
      <c r="S632" s="13"/>
      <c r="T632" s="13"/>
      <c r="U632" s="13"/>
    </row>
    <row r="633">
      <c r="K633" s="12"/>
      <c r="L633" s="12"/>
      <c r="M633" s="12"/>
      <c r="N633" s="12"/>
      <c r="R633" s="13"/>
      <c r="S633" s="13"/>
      <c r="T633" s="13"/>
      <c r="U633" s="13"/>
    </row>
    <row r="634">
      <c r="K634" s="12"/>
      <c r="L634" s="12"/>
      <c r="M634" s="12"/>
      <c r="N634" s="12"/>
      <c r="R634" s="13"/>
      <c r="S634" s="13"/>
      <c r="T634" s="13"/>
      <c r="U634" s="13"/>
    </row>
    <row r="635">
      <c r="K635" s="12"/>
      <c r="L635" s="12"/>
      <c r="M635" s="12"/>
      <c r="N635" s="12"/>
      <c r="R635" s="13"/>
      <c r="S635" s="13"/>
      <c r="T635" s="13"/>
      <c r="U635" s="13"/>
    </row>
    <row r="636">
      <c r="K636" s="12"/>
      <c r="L636" s="12"/>
      <c r="M636" s="12"/>
      <c r="N636" s="12"/>
      <c r="R636" s="13"/>
      <c r="S636" s="13"/>
      <c r="T636" s="13"/>
      <c r="U636" s="13"/>
    </row>
    <row r="637">
      <c r="K637" s="12"/>
      <c r="L637" s="12"/>
      <c r="M637" s="12"/>
      <c r="N637" s="12"/>
      <c r="R637" s="13"/>
      <c r="S637" s="13"/>
      <c r="T637" s="13"/>
      <c r="U637" s="13"/>
    </row>
    <row r="638">
      <c r="K638" s="12"/>
      <c r="L638" s="12"/>
      <c r="M638" s="12"/>
      <c r="N638" s="12"/>
      <c r="R638" s="13"/>
      <c r="S638" s="13"/>
      <c r="T638" s="13"/>
      <c r="U638" s="13"/>
    </row>
    <row r="639">
      <c r="K639" s="12"/>
      <c r="L639" s="12"/>
      <c r="M639" s="12"/>
      <c r="N639" s="12"/>
      <c r="R639" s="13"/>
      <c r="S639" s="13"/>
      <c r="T639" s="13"/>
      <c r="U639" s="13"/>
    </row>
    <row r="640">
      <c r="K640" s="12"/>
      <c r="L640" s="12"/>
      <c r="M640" s="12"/>
      <c r="N640" s="12"/>
      <c r="R640" s="13"/>
      <c r="S640" s="13"/>
      <c r="T640" s="13"/>
      <c r="U640" s="13"/>
    </row>
    <row r="641">
      <c r="K641" s="12"/>
      <c r="L641" s="12"/>
      <c r="M641" s="12"/>
      <c r="N641" s="12"/>
      <c r="R641" s="13"/>
      <c r="S641" s="13"/>
      <c r="T641" s="13"/>
      <c r="U641" s="13"/>
    </row>
    <row r="642">
      <c r="K642" s="12"/>
      <c r="L642" s="12"/>
      <c r="M642" s="12"/>
      <c r="N642" s="12"/>
      <c r="R642" s="13"/>
      <c r="S642" s="13"/>
      <c r="T642" s="13"/>
      <c r="U642" s="13"/>
    </row>
    <row r="643">
      <c r="K643" s="12"/>
      <c r="L643" s="12"/>
      <c r="M643" s="12"/>
      <c r="N643" s="12"/>
      <c r="R643" s="13"/>
      <c r="S643" s="13"/>
      <c r="T643" s="13"/>
      <c r="U643" s="13"/>
    </row>
    <row r="644">
      <c r="K644" s="12"/>
      <c r="L644" s="12"/>
      <c r="M644" s="12"/>
      <c r="N644" s="12"/>
      <c r="R644" s="13"/>
      <c r="S644" s="13"/>
      <c r="T644" s="13"/>
      <c r="U644" s="13"/>
    </row>
    <row r="645">
      <c r="K645" s="12"/>
      <c r="L645" s="12"/>
      <c r="M645" s="12"/>
      <c r="N645" s="12"/>
      <c r="R645" s="13"/>
      <c r="S645" s="13"/>
      <c r="T645" s="13"/>
      <c r="U645" s="13"/>
    </row>
    <row r="646">
      <c r="K646" s="12"/>
      <c r="L646" s="12"/>
      <c r="M646" s="12"/>
      <c r="N646" s="12"/>
      <c r="R646" s="13"/>
      <c r="S646" s="13"/>
      <c r="T646" s="13"/>
      <c r="U646" s="13"/>
    </row>
    <row r="647">
      <c r="K647" s="12"/>
      <c r="L647" s="12"/>
      <c r="M647" s="12"/>
      <c r="N647" s="12"/>
      <c r="R647" s="13"/>
      <c r="S647" s="13"/>
      <c r="T647" s="13"/>
      <c r="U647" s="13"/>
    </row>
    <row r="648">
      <c r="K648" s="12"/>
      <c r="L648" s="12"/>
      <c r="M648" s="12"/>
      <c r="N648" s="12"/>
      <c r="R648" s="13"/>
      <c r="S648" s="13"/>
      <c r="T648" s="13"/>
      <c r="U648" s="13"/>
    </row>
    <row r="649">
      <c r="K649" s="12"/>
      <c r="L649" s="12"/>
      <c r="M649" s="12"/>
      <c r="N649" s="12"/>
      <c r="R649" s="13"/>
      <c r="S649" s="13"/>
      <c r="T649" s="13"/>
      <c r="U649" s="13"/>
    </row>
    <row r="650">
      <c r="K650" s="12"/>
      <c r="L650" s="12"/>
      <c r="M650" s="12"/>
      <c r="N650" s="12"/>
      <c r="R650" s="13"/>
      <c r="S650" s="13"/>
      <c r="T650" s="13"/>
      <c r="U650" s="13"/>
    </row>
    <row r="651">
      <c r="K651" s="12"/>
      <c r="L651" s="12"/>
      <c r="M651" s="12"/>
      <c r="N651" s="12"/>
      <c r="R651" s="13"/>
      <c r="S651" s="13"/>
      <c r="T651" s="13"/>
      <c r="U651" s="13"/>
    </row>
    <row r="652">
      <c r="K652" s="12"/>
      <c r="L652" s="12"/>
      <c r="M652" s="12"/>
      <c r="N652" s="12"/>
      <c r="R652" s="13"/>
      <c r="S652" s="13"/>
      <c r="T652" s="13"/>
      <c r="U652" s="13"/>
    </row>
    <row r="653">
      <c r="K653" s="12"/>
      <c r="L653" s="12"/>
      <c r="M653" s="12"/>
      <c r="N653" s="12"/>
      <c r="R653" s="13"/>
      <c r="S653" s="13"/>
      <c r="T653" s="13"/>
      <c r="U653" s="13"/>
    </row>
    <row r="654">
      <c r="K654" s="12"/>
      <c r="L654" s="12"/>
      <c r="M654" s="12"/>
      <c r="N654" s="12"/>
      <c r="R654" s="13"/>
      <c r="S654" s="13"/>
      <c r="T654" s="13"/>
      <c r="U654" s="13"/>
    </row>
    <row r="655">
      <c r="K655" s="12"/>
      <c r="L655" s="12"/>
      <c r="M655" s="12"/>
      <c r="N655" s="12"/>
      <c r="R655" s="13"/>
      <c r="S655" s="13"/>
      <c r="T655" s="13"/>
      <c r="U655" s="13"/>
    </row>
    <row r="656">
      <c r="K656" s="12"/>
      <c r="L656" s="12"/>
      <c r="M656" s="12"/>
      <c r="N656" s="12"/>
      <c r="R656" s="13"/>
      <c r="S656" s="13"/>
      <c r="T656" s="13"/>
      <c r="U656" s="13"/>
    </row>
    <row r="657">
      <c r="K657" s="12"/>
      <c r="L657" s="12"/>
      <c r="M657" s="12"/>
      <c r="N657" s="12"/>
      <c r="R657" s="13"/>
      <c r="S657" s="13"/>
      <c r="T657" s="13"/>
      <c r="U657" s="13"/>
    </row>
    <row r="658">
      <c r="K658" s="12"/>
      <c r="L658" s="12"/>
      <c r="M658" s="12"/>
      <c r="N658" s="12"/>
      <c r="R658" s="13"/>
      <c r="S658" s="13"/>
      <c r="T658" s="13"/>
      <c r="U658" s="13"/>
    </row>
    <row r="659">
      <c r="K659" s="12"/>
      <c r="L659" s="12"/>
      <c r="M659" s="12"/>
      <c r="N659" s="12"/>
      <c r="R659" s="13"/>
      <c r="S659" s="13"/>
      <c r="T659" s="13"/>
      <c r="U659" s="13"/>
    </row>
    <row r="660">
      <c r="K660" s="12"/>
      <c r="L660" s="12"/>
      <c r="M660" s="12"/>
      <c r="N660" s="12"/>
      <c r="R660" s="13"/>
      <c r="S660" s="13"/>
      <c r="T660" s="13"/>
      <c r="U660" s="13"/>
    </row>
    <row r="661">
      <c r="K661" s="12"/>
      <c r="L661" s="12"/>
      <c r="M661" s="12"/>
      <c r="N661" s="12"/>
      <c r="R661" s="13"/>
      <c r="S661" s="13"/>
      <c r="T661" s="13"/>
      <c r="U661" s="13"/>
    </row>
    <row r="662">
      <c r="K662" s="12"/>
      <c r="L662" s="12"/>
      <c r="M662" s="12"/>
      <c r="N662" s="12"/>
      <c r="R662" s="13"/>
      <c r="S662" s="13"/>
      <c r="T662" s="13"/>
      <c r="U662" s="13"/>
    </row>
    <row r="663">
      <c r="K663" s="12"/>
      <c r="L663" s="12"/>
      <c r="M663" s="12"/>
      <c r="N663" s="12"/>
      <c r="R663" s="13"/>
      <c r="S663" s="13"/>
      <c r="T663" s="13"/>
      <c r="U663" s="13"/>
    </row>
    <row r="664">
      <c r="K664" s="12"/>
      <c r="L664" s="12"/>
      <c r="M664" s="12"/>
      <c r="N664" s="12"/>
      <c r="R664" s="13"/>
      <c r="S664" s="13"/>
      <c r="T664" s="13"/>
      <c r="U664" s="13"/>
    </row>
    <row r="665">
      <c r="K665" s="12"/>
      <c r="L665" s="12"/>
      <c r="M665" s="12"/>
      <c r="N665" s="12"/>
      <c r="R665" s="13"/>
      <c r="S665" s="13"/>
      <c r="T665" s="13"/>
      <c r="U665" s="13"/>
    </row>
    <row r="666">
      <c r="K666" s="12"/>
      <c r="L666" s="12"/>
      <c r="M666" s="12"/>
      <c r="N666" s="12"/>
      <c r="R666" s="13"/>
      <c r="S666" s="13"/>
      <c r="T666" s="13"/>
      <c r="U666" s="13"/>
    </row>
    <row r="667">
      <c r="K667" s="12"/>
      <c r="L667" s="12"/>
      <c r="M667" s="12"/>
      <c r="N667" s="12"/>
      <c r="R667" s="13"/>
      <c r="S667" s="13"/>
      <c r="T667" s="13"/>
      <c r="U667" s="13"/>
    </row>
    <row r="668">
      <c r="K668" s="12"/>
      <c r="L668" s="12"/>
      <c r="M668" s="12"/>
      <c r="N668" s="12"/>
      <c r="R668" s="13"/>
      <c r="S668" s="13"/>
      <c r="T668" s="13"/>
      <c r="U668" s="13"/>
    </row>
    <row r="669">
      <c r="K669" s="12"/>
      <c r="L669" s="12"/>
      <c r="M669" s="12"/>
      <c r="N669" s="12"/>
      <c r="R669" s="13"/>
      <c r="S669" s="13"/>
      <c r="T669" s="13"/>
      <c r="U669" s="13"/>
    </row>
    <row r="670">
      <c r="K670" s="12"/>
      <c r="L670" s="12"/>
      <c r="M670" s="12"/>
      <c r="N670" s="12"/>
      <c r="R670" s="13"/>
      <c r="S670" s="13"/>
      <c r="T670" s="13"/>
      <c r="U670" s="13"/>
    </row>
    <row r="671">
      <c r="K671" s="12"/>
      <c r="L671" s="12"/>
      <c r="M671" s="12"/>
      <c r="N671" s="12"/>
      <c r="R671" s="13"/>
      <c r="S671" s="13"/>
      <c r="T671" s="13"/>
      <c r="U671" s="13"/>
    </row>
    <row r="672">
      <c r="K672" s="12"/>
      <c r="L672" s="12"/>
      <c r="M672" s="12"/>
      <c r="N672" s="12"/>
      <c r="R672" s="13"/>
      <c r="S672" s="13"/>
      <c r="T672" s="13"/>
      <c r="U672" s="13"/>
    </row>
    <row r="673">
      <c r="K673" s="12"/>
      <c r="L673" s="12"/>
      <c r="M673" s="12"/>
      <c r="N673" s="12"/>
      <c r="R673" s="13"/>
      <c r="S673" s="13"/>
      <c r="T673" s="13"/>
      <c r="U673" s="13"/>
    </row>
    <row r="674">
      <c r="K674" s="12"/>
      <c r="L674" s="12"/>
      <c r="M674" s="12"/>
      <c r="N674" s="12"/>
      <c r="R674" s="13"/>
      <c r="S674" s="13"/>
      <c r="T674" s="13"/>
      <c r="U674" s="13"/>
    </row>
    <row r="675">
      <c r="K675" s="12"/>
      <c r="L675" s="12"/>
      <c r="M675" s="12"/>
      <c r="N675" s="12"/>
      <c r="R675" s="13"/>
      <c r="S675" s="13"/>
      <c r="T675" s="13"/>
      <c r="U675" s="13"/>
    </row>
    <row r="676">
      <c r="K676" s="12"/>
      <c r="L676" s="12"/>
      <c r="M676" s="12"/>
      <c r="N676" s="12"/>
      <c r="R676" s="13"/>
      <c r="S676" s="13"/>
      <c r="T676" s="13"/>
      <c r="U676" s="13"/>
    </row>
    <row r="677">
      <c r="K677" s="12"/>
      <c r="L677" s="12"/>
      <c r="M677" s="12"/>
      <c r="N677" s="12"/>
      <c r="R677" s="13"/>
      <c r="S677" s="13"/>
      <c r="T677" s="13"/>
      <c r="U677" s="13"/>
    </row>
    <row r="678">
      <c r="K678" s="12"/>
      <c r="L678" s="12"/>
      <c r="M678" s="12"/>
      <c r="N678" s="12"/>
      <c r="R678" s="13"/>
      <c r="S678" s="13"/>
      <c r="T678" s="13"/>
      <c r="U678" s="13"/>
    </row>
    <row r="679">
      <c r="K679" s="12"/>
      <c r="L679" s="12"/>
      <c r="M679" s="12"/>
      <c r="N679" s="12"/>
      <c r="R679" s="13"/>
      <c r="S679" s="13"/>
      <c r="T679" s="13"/>
      <c r="U679" s="13"/>
    </row>
    <row r="680">
      <c r="K680" s="12"/>
      <c r="L680" s="12"/>
      <c r="M680" s="12"/>
      <c r="N680" s="12"/>
      <c r="R680" s="13"/>
      <c r="S680" s="13"/>
      <c r="T680" s="13"/>
      <c r="U680" s="13"/>
    </row>
    <row r="681">
      <c r="K681" s="12"/>
      <c r="L681" s="12"/>
      <c r="M681" s="12"/>
      <c r="N681" s="12"/>
      <c r="R681" s="13"/>
      <c r="S681" s="13"/>
      <c r="T681" s="13"/>
      <c r="U681" s="13"/>
    </row>
    <row r="682">
      <c r="K682" s="12"/>
      <c r="L682" s="12"/>
      <c r="M682" s="12"/>
      <c r="N682" s="12"/>
      <c r="R682" s="13"/>
      <c r="S682" s="13"/>
      <c r="T682" s="13"/>
      <c r="U682" s="13"/>
    </row>
    <row r="683">
      <c r="K683" s="12"/>
      <c r="L683" s="12"/>
      <c r="M683" s="12"/>
      <c r="N683" s="12"/>
      <c r="R683" s="13"/>
      <c r="S683" s="13"/>
      <c r="T683" s="13"/>
      <c r="U683" s="13"/>
    </row>
    <row r="684">
      <c r="K684" s="12"/>
      <c r="L684" s="12"/>
      <c r="M684" s="12"/>
      <c r="N684" s="12"/>
      <c r="R684" s="13"/>
      <c r="S684" s="13"/>
      <c r="T684" s="13"/>
      <c r="U684" s="13"/>
    </row>
    <row r="685">
      <c r="K685" s="12"/>
      <c r="L685" s="12"/>
      <c r="M685" s="12"/>
      <c r="N685" s="12"/>
      <c r="R685" s="13"/>
      <c r="S685" s="13"/>
      <c r="T685" s="13"/>
      <c r="U685" s="13"/>
    </row>
    <row r="686">
      <c r="K686" s="12"/>
      <c r="L686" s="12"/>
      <c r="M686" s="12"/>
      <c r="N686" s="12"/>
      <c r="R686" s="13"/>
      <c r="S686" s="13"/>
      <c r="T686" s="13"/>
      <c r="U686" s="13"/>
    </row>
    <row r="687">
      <c r="K687" s="12"/>
      <c r="L687" s="12"/>
      <c r="M687" s="12"/>
      <c r="N687" s="12"/>
      <c r="R687" s="13"/>
      <c r="S687" s="13"/>
      <c r="T687" s="13"/>
      <c r="U687" s="13"/>
    </row>
    <row r="688">
      <c r="K688" s="12"/>
      <c r="L688" s="12"/>
      <c r="M688" s="12"/>
      <c r="N688" s="12"/>
      <c r="R688" s="13"/>
      <c r="S688" s="13"/>
      <c r="T688" s="13"/>
      <c r="U688" s="13"/>
    </row>
    <row r="689">
      <c r="K689" s="12"/>
      <c r="L689" s="12"/>
      <c r="M689" s="12"/>
      <c r="N689" s="12"/>
      <c r="R689" s="13"/>
      <c r="S689" s="13"/>
      <c r="T689" s="13"/>
      <c r="U689" s="13"/>
    </row>
    <row r="690">
      <c r="K690" s="12"/>
      <c r="L690" s="12"/>
      <c r="M690" s="12"/>
      <c r="N690" s="12"/>
      <c r="R690" s="13"/>
      <c r="S690" s="13"/>
      <c r="T690" s="13"/>
      <c r="U690" s="13"/>
    </row>
    <row r="691">
      <c r="K691" s="12"/>
      <c r="L691" s="12"/>
      <c r="M691" s="12"/>
      <c r="N691" s="12"/>
      <c r="R691" s="13"/>
      <c r="S691" s="13"/>
      <c r="T691" s="13"/>
      <c r="U691" s="13"/>
    </row>
    <row r="692">
      <c r="K692" s="12"/>
      <c r="L692" s="12"/>
      <c r="M692" s="12"/>
      <c r="N692" s="12"/>
      <c r="R692" s="13"/>
      <c r="S692" s="13"/>
      <c r="T692" s="13"/>
      <c r="U692" s="13"/>
    </row>
    <row r="693">
      <c r="K693" s="12"/>
      <c r="L693" s="12"/>
      <c r="M693" s="12"/>
      <c r="N693" s="12"/>
      <c r="R693" s="13"/>
      <c r="S693" s="13"/>
      <c r="T693" s="13"/>
      <c r="U693" s="13"/>
    </row>
    <row r="694">
      <c r="K694" s="12"/>
      <c r="L694" s="12"/>
      <c r="M694" s="12"/>
      <c r="N694" s="12"/>
      <c r="R694" s="13"/>
      <c r="S694" s="13"/>
      <c r="T694" s="13"/>
      <c r="U694" s="13"/>
    </row>
    <row r="695">
      <c r="K695" s="12"/>
      <c r="L695" s="12"/>
      <c r="M695" s="12"/>
      <c r="N695" s="12"/>
      <c r="R695" s="13"/>
      <c r="S695" s="13"/>
      <c r="T695" s="13"/>
      <c r="U695" s="13"/>
    </row>
    <row r="696">
      <c r="K696" s="12"/>
      <c r="L696" s="12"/>
      <c r="M696" s="12"/>
      <c r="N696" s="12"/>
      <c r="R696" s="13"/>
      <c r="S696" s="13"/>
      <c r="T696" s="13"/>
      <c r="U696" s="13"/>
    </row>
    <row r="697">
      <c r="K697" s="12"/>
      <c r="L697" s="12"/>
      <c r="M697" s="12"/>
      <c r="N697" s="12"/>
      <c r="R697" s="13"/>
      <c r="S697" s="13"/>
      <c r="T697" s="13"/>
      <c r="U697" s="13"/>
    </row>
    <row r="698">
      <c r="K698" s="12"/>
      <c r="L698" s="12"/>
      <c r="M698" s="12"/>
      <c r="N698" s="12"/>
      <c r="R698" s="13"/>
      <c r="S698" s="13"/>
      <c r="T698" s="13"/>
      <c r="U698" s="13"/>
    </row>
    <row r="699">
      <c r="K699" s="12"/>
      <c r="L699" s="12"/>
      <c r="M699" s="12"/>
      <c r="N699" s="12"/>
      <c r="R699" s="13"/>
      <c r="S699" s="13"/>
      <c r="T699" s="13"/>
      <c r="U699" s="13"/>
    </row>
    <row r="700">
      <c r="K700" s="12"/>
      <c r="L700" s="12"/>
      <c r="M700" s="12"/>
      <c r="N700" s="12"/>
      <c r="R700" s="13"/>
      <c r="S700" s="13"/>
      <c r="T700" s="13"/>
      <c r="U700" s="13"/>
    </row>
    <row r="701">
      <c r="K701" s="12"/>
      <c r="L701" s="12"/>
      <c r="M701" s="12"/>
      <c r="N701" s="12"/>
      <c r="R701" s="13"/>
      <c r="S701" s="13"/>
      <c r="T701" s="13"/>
      <c r="U701" s="13"/>
    </row>
    <row r="702">
      <c r="K702" s="12"/>
      <c r="L702" s="12"/>
      <c r="M702" s="12"/>
      <c r="N702" s="12"/>
      <c r="R702" s="13"/>
      <c r="S702" s="13"/>
      <c r="T702" s="13"/>
      <c r="U702" s="13"/>
    </row>
    <row r="703">
      <c r="K703" s="12"/>
      <c r="L703" s="12"/>
      <c r="M703" s="12"/>
      <c r="N703" s="12"/>
      <c r="R703" s="13"/>
      <c r="S703" s="13"/>
      <c r="T703" s="13"/>
      <c r="U703" s="13"/>
    </row>
    <row r="704">
      <c r="K704" s="12"/>
      <c r="L704" s="12"/>
      <c r="M704" s="12"/>
      <c r="N704" s="12"/>
      <c r="R704" s="13"/>
      <c r="S704" s="13"/>
      <c r="T704" s="13"/>
      <c r="U704" s="13"/>
    </row>
    <row r="705">
      <c r="K705" s="12"/>
      <c r="L705" s="12"/>
      <c r="M705" s="12"/>
      <c r="N705" s="12"/>
      <c r="R705" s="13"/>
      <c r="S705" s="13"/>
      <c r="T705" s="13"/>
      <c r="U705" s="13"/>
    </row>
    <row r="706">
      <c r="K706" s="12"/>
      <c r="L706" s="12"/>
      <c r="M706" s="12"/>
      <c r="N706" s="12"/>
      <c r="R706" s="13"/>
      <c r="S706" s="13"/>
      <c r="T706" s="13"/>
      <c r="U706" s="13"/>
    </row>
    <row r="707">
      <c r="K707" s="12"/>
      <c r="L707" s="12"/>
      <c r="M707" s="12"/>
      <c r="N707" s="12"/>
      <c r="R707" s="13"/>
      <c r="S707" s="13"/>
      <c r="T707" s="13"/>
      <c r="U707" s="13"/>
    </row>
    <row r="708">
      <c r="K708" s="12"/>
      <c r="L708" s="12"/>
      <c r="M708" s="12"/>
      <c r="N708" s="12"/>
      <c r="R708" s="13"/>
      <c r="S708" s="13"/>
      <c r="T708" s="13"/>
      <c r="U708" s="13"/>
    </row>
    <row r="709">
      <c r="K709" s="12"/>
      <c r="L709" s="12"/>
      <c r="M709" s="12"/>
      <c r="N709" s="12"/>
      <c r="R709" s="13"/>
      <c r="S709" s="13"/>
      <c r="T709" s="13"/>
      <c r="U709" s="13"/>
    </row>
    <row r="710">
      <c r="K710" s="12"/>
      <c r="L710" s="12"/>
      <c r="M710" s="12"/>
      <c r="N710" s="12"/>
      <c r="R710" s="13"/>
      <c r="S710" s="13"/>
      <c r="T710" s="13"/>
      <c r="U710" s="13"/>
    </row>
    <row r="711">
      <c r="K711" s="12"/>
      <c r="L711" s="12"/>
      <c r="M711" s="12"/>
      <c r="N711" s="12"/>
      <c r="R711" s="13"/>
      <c r="S711" s="13"/>
      <c r="T711" s="13"/>
      <c r="U711" s="13"/>
    </row>
    <row r="712">
      <c r="K712" s="12"/>
      <c r="L712" s="12"/>
      <c r="M712" s="12"/>
      <c r="N712" s="12"/>
      <c r="R712" s="13"/>
      <c r="S712" s="13"/>
      <c r="T712" s="13"/>
      <c r="U712" s="13"/>
    </row>
    <row r="713">
      <c r="K713" s="12"/>
      <c r="L713" s="12"/>
      <c r="M713" s="12"/>
      <c r="N713" s="12"/>
      <c r="R713" s="13"/>
      <c r="S713" s="13"/>
      <c r="T713" s="13"/>
      <c r="U713" s="13"/>
    </row>
    <row r="714">
      <c r="K714" s="12"/>
      <c r="L714" s="12"/>
      <c r="M714" s="12"/>
      <c r="N714" s="12"/>
      <c r="R714" s="13"/>
      <c r="S714" s="13"/>
      <c r="T714" s="13"/>
      <c r="U714" s="13"/>
    </row>
    <row r="715">
      <c r="K715" s="12"/>
      <c r="L715" s="12"/>
      <c r="M715" s="12"/>
      <c r="N715" s="12"/>
      <c r="R715" s="13"/>
      <c r="S715" s="13"/>
      <c r="T715" s="13"/>
      <c r="U715" s="13"/>
    </row>
    <row r="716">
      <c r="K716" s="12"/>
      <c r="L716" s="12"/>
      <c r="M716" s="12"/>
      <c r="N716" s="12"/>
      <c r="R716" s="13"/>
      <c r="S716" s="13"/>
      <c r="T716" s="13"/>
      <c r="U716" s="13"/>
    </row>
    <row r="717">
      <c r="K717" s="12"/>
      <c r="L717" s="12"/>
      <c r="M717" s="12"/>
      <c r="N717" s="12"/>
      <c r="R717" s="13"/>
      <c r="S717" s="13"/>
      <c r="T717" s="13"/>
      <c r="U717" s="13"/>
    </row>
    <row r="718">
      <c r="K718" s="12"/>
      <c r="L718" s="12"/>
      <c r="M718" s="12"/>
      <c r="N718" s="12"/>
      <c r="R718" s="13"/>
      <c r="S718" s="13"/>
      <c r="T718" s="13"/>
      <c r="U718" s="13"/>
    </row>
    <row r="719">
      <c r="K719" s="12"/>
      <c r="L719" s="12"/>
      <c r="M719" s="12"/>
      <c r="N719" s="12"/>
      <c r="R719" s="13"/>
      <c r="S719" s="13"/>
      <c r="T719" s="13"/>
      <c r="U719" s="13"/>
    </row>
    <row r="720">
      <c r="K720" s="12"/>
      <c r="L720" s="12"/>
      <c r="M720" s="12"/>
      <c r="N720" s="12"/>
      <c r="R720" s="13"/>
      <c r="S720" s="13"/>
      <c r="T720" s="13"/>
      <c r="U720" s="13"/>
    </row>
    <row r="721">
      <c r="K721" s="12"/>
      <c r="L721" s="12"/>
      <c r="M721" s="12"/>
      <c r="N721" s="12"/>
      <c r="R721" s="13"/>
      <c r="S721" s="13"/>
      <c r="T721" s="13"/>
      <c r="U721" s="13"/>
    </row>
    <row r="722">
      <c r="K722" s="12"/>
      <c r="L722" s="12"/>
      <c r="M722" s="12"/>
      <c r="N722" s="12"/>
      <c r="R722" s="13"/>
      <c r="S722" s="13"/>
      <c r="T722" s="13"/>
      <c r="U722" s="13"/>
    </row>
    <row r="723">
      <c r="K723" s="12"/>
      <c r="L723" s="12"/>
      <c r="M723" s="12"/>
      <c r="N723" s="12"/>
      <c r="R723" s="13"/>
      <c r="S723" s="13"/>
      <c r="T723" s="13"/>
      <c r="U723" s="13"/>
    </row>
    <row r="724">
      <c r="K724" s="12"/>
      <c r="L724" s="12"/>
      <c r="M724" s="12"/>
      <c r="N724" s="12"/>
      <c r="R724" s="13"/>
      <c r="S724" s="13"/>
      <c r="T724" s="13"/>
      <c r="U724" s="13"/>
    </row>
    <row r="725">
      <c r="K725" s="12"/>
      <c r="L725" s="12"/>
      <c r="M725" s="12"/>
      <c r="N725" s="12"/>
      <c r="R725" s="13"/>
      <c r="S725" s="13"/>
      <c r="T725" s="13"/>
      <c r="U725" s="13"/>
    </row>
    <row r="726">
      <c r="K726" s="12"/>
      <c r="L726" s="12"/>
      <c r="M726" s="12"/>
      <c r="N726" s="12"/>
      <c r="R726" s="13"/>
      <c r="S726" s="13"/>
      <c r="T726" s="13"/>
      <c r="U726" s="13"/>
    </row>
    <row r="727">
      <c r="K727" s="12"/>
      <c r="L727" s="12"/>
      <c r="M727" s="12"/>
      <c r="N727" s="12"/>
      <c r="R727" s="13"/>
      <c r="S727" s="13"/>
      <c r="T727" s="13"/>
      <c r="U727" s="13"/>
    </row>
    <row r="728">
      <c r="K728" s="12"/>
      <c r="L728" s="12"/>
      <c r="M728" s="12"/>
      <c r="N728" s="12"/>
      <c r="R728" s="13"/>
      <c r="S728" s="13"/>
      <c r="T728" s="13"/>
      <c r="U728" s="13"/>
    </row>
    <row r="729">
      <c r="K729" s="12"/>
      <c r="L729" s="12"/>
      <c r="M729" s="12"/>
      <c r="N729" s="12"/>
      <c r="R729" s="13"/>
      <c r="S729" s="13"/>
      <c r="T729" s="13"/>
      <c r="U729" s="13"/>
    </row>
    <row r="730">
      <c r="K730" s="12"/>
      <c r="L730" s="12"/>
      <c r="M730" s="12"/>
      <c r="N730" s="12"/>
      <c r="R730" s="13"/>
      <c r="S730" s="13"/>
      <c r="T730" s="13"/>
      <c r="U730" s="13"/>
    </row>
    <row r="731">
      <c r="K731" s="12"/>
      <c r="L731" s="12"/>
      <c r="M731" s="12"/>
      <c r="N731" s="12"/>
      <c r="R731" s="13"/>
      <c r="S731" s="13"/>
      <c r="T731" s="13"/>
      <c r="U731" s="13"/>
    </row>
    <row r="732">
      <c r="K732" s="12"/>
      <c r="L732" s="12"/>
      <c r="M732" s="12"/>
      <c r="N732" s="12"/>
      <c r="R732" s="13"/>
      <c r="S732" s="13"/>
      <c r="T732" s="13"/>
      <c r="U732" s="13"/>
    </row>
    <row r="733">
      <c r="K733" s="12"/>
      <c r="L733" s="12"/>
      <c r="M733" s="12"/>
      <c r="N733" s="12"/>
      <c r="R733" s="13"/>
      <c r="S733" s="13"/>
      <c r="T733" s="13"/>
      <c r="U733" s="13"/>
    </row>
    <row r="734">
      <c r="K734" s="12"/>
      <c r="L734" s="12"/>
      <c r="M734" s="12"/>
      <c r="N734" s="12"/>
      <c r="R734" s="13"/>
      <c r="S734" s="13"/>
      <c r="T734" s="13"/>
      <c r="U734" s="13"/>
    </row>
    <row r="735">
      <c r="K735" s="12"/>
      <c r="L735" s="12"/>
      <c r="M735" s="12"/>
      <c r="N735" s="12"/>
      <c r="R735" s="13"/>
      <c r="S735" s="13"/>
      <c r="T735" s="13"/>
      <c r="U735" s="13"/>
    </row>
    <row r="736">
      <c r="K736" s="12"/>
      <c r="L736" s="12"/>
      <c r="M736" s="12"/>
      <c r="N736" s="12"/>
      <c r="R736" s="13"/>
      <c r="S736" s="13"/>
      <c r="T736" s="13"/>
      <c r="U736" s="13"/>
    </row>
    <row r="737">
      <c r="K737" s="12"/>
      <c r="L737" s="12"/>
      <c r="M737" s="12"/>
      <c r="N737" s="12"/>
      <c r="R737" s="13"/>
      <c r="S737" s="13"/>
      <c r="T737" s="13"/>
      <c r="U737" s="13"/>
    </row>
    <row r="738">
      <c r="K738" s="12"/>
      <c r="L738" s="12"/>
      <c r="M738" s="12"/>
      <c r="N738" s="12"/>
      <c r="R738" s="13"/>
      <c r="S738" s="13"/>
      <c r="T738" s="13"/>
      <c r="U738" s="13"/>
    </row>
    <row r="739">
      <c r="K739" s="12"/>
      <c r="L739" s="12"/>
      <c r="M739" s="12"/>
      <c r="N739" s="12"/>
      <c r="R739" s="13"/>
      <c r="S739" s="13"/>
      <c r="T739" s="13"/>
      <c r="U739" s="13"/>
    </row>
    <row r="740">
      <c r="K740" s="12"/>
      <c r="L740" s="12"/>
      <c r="M740" s="12"/>
      <c r="N740" s="12"/>
      <c r="R740" s="13"/>
      <c r="S740" s="13"/>
      <c r="T740" s="13"/>
      <c r="U740" s="13"/>
    </row>
    <row r="741">
      <c r="K741" s="12"/>
      <c r="L741" s="12"/>
      <c r="M741" s="12"/>
      <c r="N741" s="12"/>
      <c r="R741" s="13"/>
      <c r="S741" s="13"/>
      <c r="T741" s="13"/>
      <c r="U741" s="13"/>
    </row>
    <row r="742">
      <c r="K742" s="12"/>
      <c r="L742" s="12"/>
      <c r="M742" s="12"/>
      <c r="N742" s="12"/>
      <c r="R742" s="13"/>
      <c r="S742" s="13"/>
      <c r="T742" s="13"/>
      <c r="U742" s="13"/>
    </row>
    <row r="743">
      <c r="K743" s="12"/>
      <c r="L743" s="12"/>
      <c r="M743" s="12"/>
      <c r="N743" s="12"/>
      <c r="R743" s="13"/>
      <c r="S743" s="13"/>
      <c r="T743" s="13"/>
      <c r="U743" s="13"/>
    </row>
    <row r="744">
      <c r="K744" s="12"/>
      <c r="L744" s="12"/>
      <c r="M744" s="12"/>
      <c r="N744" s="12"/>
      <c r="R744" s="13"/>
      <c r="S744" s="13"/>
      <c r="T744" s="13"/>
      <c r="U744" s="13"/>
    </row>
    <row r="745">
      <c r="K745" s="12"/>
      <c r="L745" s="12"/>
      <c r="M745" s="12"/>
      <c r="N745" s="12"/>
      <c r="R745" s="13"/>
      <c r="S745" s="13"/>
      <c r="T745" s="13"/>
      <c r="U745" s="13"/>
    </row>
    <row r="746">
      <c r="K746" s="12"/>
      <c r="L746" s="12"/>
      <c r="M746" s="12"/>
      <c r="N746" s="12"/>
      <c r="R746" s="13"/>
      <c r="S746" s="13"/>
      <c r="T746" s="13"/>
      <c r="U746" s="13"/>
    </row>
    <row r="747">
      <c r="K747" s="12"/>
      <c r="L747" s="12"/>
      <c r="M747" s="12"/>
      <c r="N747" s="12"/>
      <c r="R747" s="13"/>
      <c r="S747" s="13"/>
      <c r="T747" s="13"/>
      <c r="U747" s="13"/>
    </row>
    <row r="748">
      <c r="K748" s="12"/>
      <c r="L748" s="12"/>
      <c r="M748" s="12"/>
      <c r="N748" s="12"/>
      <c r="R748" s="13"/>
      <c r="S748" s="13"/>
      <c r="T748" s="13"/>
      <c r="U748" s="13"/>
    </row>
    <row r="749">
      <c r="K749" s="12"/>
      <c r="L749" s="12"/>
      <c r="M749" s="12"/>
      <c r="N749" s="12"/>
      <c r="R749" s="13"/>
      <c r="S749" s="13"/>
      <c r="T749" s="13"/>
      <c r="U749" s="13"/>
    </row>
    <row r="750">
      <c r="K750" s="12"/>
      <c r="L750" s="12"/>
      <c r="M750" s="12"/>
      <c r="N750" s="12"/>
      <c r="R750" s="13"/>
      <c r="S750" s="13"/>
      <c r="T750" s="13"/>
      <c r="U750" s="13"/>
    </row>
    <row r="751">
      <c r="K751" s="12"/>
      <c r="L751" s="12"/>
      <c r="M751" s="12"/>
      <c r="N751" s="12"/>
      <c r="R751" s="13"/>
      <c r="S751" s="13"/>
      <c r="T751" s="13"/>
      <c r="U751" s="13"/>
    </row>
    <row r="752">
      <c r="K752" s="12"/>
      <c r="L752" s="12"/>
      <c r="M752" s="12"/>
      <c r="N752" s="12"/>
      <c r="R752" s="13"/>
      <c r="S752" s="13"/>
      <c r="T752" s="13"/>
      <c r="U752" s="13"/>
    </row>
    <row r="753">
      <c r="K753" s="12"/>
      <c r="L753" s="12"/>
      <c r="M753" s="12"/>
      <c r="N753" s="12"/>
      <c r="R753" s="13"/>
      <c r="S753" s="13"/>
      <c r="T753" s="13"/>
      <c r="U753" s="13"/>
    </row>
    <row r="754">
      <c r="K754" s="12"/>
      <c r="L754" s="12"/>
      <c r="M754" s="12"/>
      <c r="N754" s="12"/>
      <c r="R754" s="13"/>
      <c r="S754" s="13"/>
      <c r="T754" s="13"/>
      <c r="U754" s="13"/>
    </row>
    <row r="755">
      <c r="K755" s="12"/>
      <c r="L755" s="12"/>
      <c r="M755" s="12"/>
      <c r="N755" s="12"/>
      <c r="R755" s="13"/>
      <c r="S755" s="13"/>
      <c r="T755" s="13"/>
      <c r="U755" s="13"/>
    </row>
    <row r="756">
      <c r="K756" s="12"/>
      <c r="L756" s="12"/>
      <c r="M756" s="12"/>
      <c r="N756" s="12"/>
      <c r="R756" s="13"/>
      <c r="S756" s="13"/>
      <c r="T756" s="13"/>
      <c r="U756" s="13"/>
    </row>
    <row r="757">
      <c r="K757" s="12"/>
      <c r="L757" s="12"/>
      <c r="M757" s="12"/>
      <c r="N757" s="12"/>
      <c r="R757" s="13"/>
      <c r="S757" s="13"/>
      <c r="T757" s="13"/>
      <c r="U757" s="13"/>
    </row>
    <row r="758">
      <c r="K758" s="12"/>
      <c r="L758" s="12"/>
      <c r="M758" s="12"/>
      <c r="N758" s="12"/>
      <c r="R758" s="13"/>
      <c r="S758" s="13"/>
      <c r="T758" s="13"/>
      <c r="U758" s="13"/>
    </row>
    <row r="759">
      <c r="K759" s="12"/>
      <c r="L759" s="12"/>
      <c r="M759" s="12"/>
      <c r="N759" s="12"/>
      <c r="R759" s="13"/>
      <c r="S759" s="13"/>
      <c r="T759" s="13"/>
      <c r="U759" s="13"/>
    </row>
    <row r="760">
      <c r="K760" s="12"/>
      <c r="L760" s="12"/>
      <c r="M760" s="12"/>
      <c r="N760" s="12"/>
      <c r="R760" s="13"/>
      <c r="S760" s="13"/>
      <c r="T760" s="13"/>
      <c r="U760" s="13"/>
    </row>
    <row r="761">
      <c r="K761" s="12"/>
      <c r="L761" s="12"/>
      <c r="M761" s="12"/>
      <c r="N761" s="12"/>
      <c r="R761" s="13"/>
      <c r="S761" s="13"/>
      <c r="T761" s="13"/>
      <c r="U761" s="13"/>
    </row>
    <row r="762">
      <c r="K762" s="12"/>
      <c r="L762" s="12"/>
      <c r="M762" s="12"/>
      <c r="N762" s="12"/>
      <c r="R762" s="13"/>
      <c r="S762" s="13"/>
      <c r="T762" s="13"/>
      <c r="U762" s="13"/>
    </row>
    <row r="763">
      <c r="K763" s="12"/>
      <c r="L763" s="12"/>
      <c r="M763" s="12"/>
      <c r="N763" s="12"/>
      <c r="R763" s="13"/>
      <c r="S763" s="13"/>
      <c r="T763" s="13"/>
      <c r="U763" s="13"/>
    </row>
    <row r="764">
      <c r="K764" s="12"/>
      <c r="L764" s="12"/>
      <c r="M764" s="12"/>
      <c r="N764" s="12"/>
      <c r="R764" s="13"/>
      <c r="S764" s="13"/>
      <c r="T764" s="13"/>
      <c r="U764" s="13"/>
    </row>
    <row r="765">
      <c r="K765" s="12"/>
      <c r="L765" s="12"/>
      <c r="M765" s="12"/>
      <c r="N765" s="12"/>
      <c r="R765" s="13"/>
      <c r="S765" s="13"/>
      <c r="T765" s="13"/>
      <c r="U765" s="13"/>
    </row>
    <row r="766">
      <c r="K766" s="12"/>
      <c r="L766" s="12"/>
      <c r="M766" s="12"/>
      <c r="N766" s="12"/>
      <c r="R766" s="13"/>
      <c r="S766" s="13"/>
      <c r="T766" s="13"/>
      <c r="U766" s="13"/>
    </row>
    <row r="767">
      <c r="K767" s="12"/>
      <c r="L767" s="12"/>
      <c r="M767" s="12"/>
      <c r="N767" s="12"/>
      <c r="R767" s="13"/>
      <c r="S767" s="13"/>
      <c r="T767" s="13"/>
      <c r="U767" s="13"/>
    </row>
    <row r="768">
      <c r="K768" s="12"/>
      <c r="L768" s="12"/>
      <c r="M768" s="12"/>
      <c r="N768" s="12"/>
      <c r="R768" s="13"/>
      <c r="S768" s="13"/>
      <c r="T768" s="13"/>
      <c r="U768" s="13"/>
    </row>
    <row r="769">
      <c r="K769" s="12"/>
      <c r="L769" s="12"/>
      <c r="M769" s="12"/>
      <c r="N769" s="12"/>
      <c r="R769" s="13"/>
      <c r="S769" s="13"/>
      <c r="T769" s="13"/>
      <c r="U769" s="13"/>
    </row>
    <row r="770">
      <c r="K770" s="12"/>
      <c r="L770" s="12"/>
      <c r="M770" s="12"/>
      <c r="N770" s="12"/>
      <c r="R770" s="13"/>
      <c r="S770" s="13"/>
      <c r="T770" s="13"/>
      <c r="U770" s="13"/>
    </row>
    <row r="771">
      <c r="K771" s="12"/>
      <c r="L771" s="12"/>
      <c r="M771" s="12"/>
      <c r="N771" s="12"/>
      <c r="R771" s="13"/>
      <c r="S771" s="13"/>
      <c r="T771" s="13"/>
      <c r="U771" s="13"/>
    </row>
    <row r="772">
      <c r="K772" s="12"/>
      <c r="L772" s="12"/>
      <c r="M772" s="12"/>
      <c r="N772" s="12"/>
      <c r="R772" s="13"/>
      <c r="S772" s="13"/>
      <c r="T772" s="13"/>
      <c r="U772" s="13"/>
    </row>
    <row r="773">
      <c r="K773" s="12"/>
      <c r="L773" s="12"/>
      <c r="M773" s="12"/>
      <c r="N773" s="12"/>
      <c r="R773" s="13"/>
      <c r="S773" s="13"/>
      <c r="T773" s="13"/>
      <c r="U773" s="13"/>
    </row>
    <row r="774">
      <c r="K774" s="12"/>
      <c r="L774" s="12"/>
      <c r="M774" s="12"/>
      <c r="N774" s="12"/>
      <c r="R774" s="13"/>
      <c r="S774" s="13"/>
      <c r="T774" s="13"/>
      <c r="U774" s="13"/>
    </row>
    <row r="775">
      <c r="K775" s="12"/>
      <c r="L775" s="12"/>
      <c r="M775" s="12"/>
      <c r="N775" s="12"/>
      <c r="R775" s="13"/>
      <c r="S775" s="13"/>
      <c r="T775" s="13"/>
      <c r="U775" s="13"/>
    </row>
    <row r="776">
      <c r="K776" s="12"/>
      <c r="L776" s="12"/>
      <c r="M776" s="12"/>
      <c r="N776" s="12"/>
      <c r="R776" s="13"/>
      <c r="S776" s="13"/>
      <c r="T776" s="13"/>
      <c r="U776" s="13"/>
    </row>
    <row r="777">
      <c r="K777" s="12"/>
      <c r="L777" s="12"/>
      <c r="M777" s="12"/>
      <c r="N777" s="12"/>
      <c r="R777" s="13"/>
      <c r="S777" s="13"/>
      <c r="T777" s="13"/>
      <c r="U777" s="13"/>
    </row>
    <row r="778">
      <c r="K778" s="12"/>
      <c r="L778" s="12"/>
      <c r="M778" s="12"/>
      <c r="N778" s="12"/>
      <c r="R778" s="13"/>
      <c r="S778" s="13"/>
      <c r="T778" s="13"/>
      <c r="U778" s="13"/>
    </row>
    <row r="779">
      <c r="K779" s="12"/>
      <c r="L779" s="12"/>
      <c r="M779" s="12"/>
      <c r="N779" s="12"/>
      <c r="R779" s="13"/>
      <c r="S779" s="13"/>
      <c r="T779" s="13"/>
      <c r="U779" s="13"/>
    </row>
    <row r="780">
      <c r="K780" s="12"/>
      <c r="L780" s="12"/>
      <c r="M780" s="12"/>
      <c r="N780" s="12"/>
      <c r="R780" s="13"/>
      <c r="S780" s="13"/>
      <c r="T780" s="13"/>
      <c r="U780" s="13"/>
    </row>
    <row r="781">
      <c r="K781" s="12"/>
      <c r="L781" s="12"/>
      <c r="M781" s="12"/>
      <c r="N781" s="12"/>
      <c r="R781" s="13"/>
      <c r="S781" s="13"/>
      <c r="T781" s="13"/>
      <c r="U781" s="13"/>
    </row>
    <row r="782">
      <c r="K782" s="12"/>
      <c r="L782" s="12"/>
      <c r="M782" s="12"/>
      <c r="N782" s="12"/>
      <c r="R782" s="13"/>
      <c r="S782" s="13"/>
      <c r="T782" s="13"/>
      <c r="U782" s="13"/>
    </row>
    <row r="783">
      <c r="K783" s="12"/>
      <c r="L783" s="12"/>
      <c r="M783" s="12"/>
      <c r="N783" s="12"/>
      <c r="R783" s="13"/>
      <c r="S783" s="13"/>
      <c r="T783" s="13"/>
      <c r="U783" s="13"/>
    </row>
    <row r="784">
      <c r="K784" s="12"/>
      <c r="L784" s="12"/>
      <c r="M784" s="12"/>
      <c r="N784" s="12"/>
      <c r="R784" s="13"/>
      <c r="S784" s="13"/>
      <c r="T784" s="13"/>
      <c r="U784" s="13"/>
    </row>
    <row r="785">
      <c r="K785" s="12"/>
      <c r="L785" s="12"/>
      <c r="M785" s="12"/>
      <c r="N785" s="12"/>
      <c r="R785" s="13"/>
      <c r="S785" s="13"/>
      <c r="T785" s="13"/>
      <c r="U785" s="13"/>
    </row>
    <row r="786">
      <c r="K786" s="12"/>
      <c r="L786" s="12"/>
      <c r="M786" s="12"/>
      <c r="N786" s="12"/>
      <c r="R786" s="13"/>
      <c r="S786" s="13"/>
      <c r="T786" s="13"/>
      <c r="U786" s="13"/>
    </row>
    <row r="787">
      <c r="K787" s="12"/>
      <c r="L787" s="12"/>
      <c r="M787" s="12"/>
      <c r="N787" s="12"/>
      <c r="R787" s="13"/>
      <c r="S787" s="13"/>
      <c r="T787" s="13"/>
      <c r="U787" s="13"/>
    </row>
    <row r="788">
      <c r="K788" s="12"/>
      <c r="L788" s="12"/>
      <c r="M788" s="12"/>
      <c r="N788" s="12"/>
      <c r="R788" s="13"/>
      <c r="S788" s="13"/>
      <c r="T788" s="13"/>
      <c r="U788" s="13"/>
    </row>
    <row r="789">
      <c r="K789" s="12"/>
      <c r="L789" s="12"/>
      <c r="M789" s="12"/>
      <c r="N789" s="12"/>
      <c r="R789" s="13"/>
      <c r="S789" s="13"/>
      <c r="T789" s="13"/>
      <c r="U789" s="13"/>
    </row>
    <row r="790">
      <c r="K790" s="12"/>
      <c r="L790" s="12"/>
      <c r="M790" s="12"/>
      <c r="N790" s="12"/>
      <c r="R790" s="13"/>
      <c r="S790" s="13"/>
      <c r="T790" s="13"/>
      <c r="U790" s="13"/>
    </row>
    <row r="791">
      <c r="K791" s="12"/>
      <c r="L791" s="12"/>
      <c r="M791" s="12"/>
      <c r="N791" s="12"/>
      <c r="R791" s="13"/>
      <c r="S791" s="13"/>
      <c r="T791" s="13"/>
      <c r="U791" s="13"/>
    </row>
    <row r="792">
      <c r="K792" s="12"/>
      <c r="L792" s="12"/>
      <c r="M792" s="12"/>
      <c r="N792" s="12"/>
      <c r="R792" s="13"/>
      <c r="S792" s="13"/>
      <c r="T792" s="13"/>
      <c r="U792" s="13"/>
    </row>
    <row r="793">
      <c r="K793" s="12"/>
      <c r="L793" s="12"/>
      <c r="M793" s="12"/>
      <c r="N793" s="12"/>
      <c r="R793" s="13"/>
      <c r="S793" s="13"/>
      <c r="T793" s="13"/>
      <c r="U793" s="13"/>
    </row>
    <row r="794">
      <c r="K794" s="12"/>
      <c r="L794" s="12"/>
      <c r="M794" s="12"/>
      <c r="N794" s="12"/>
      <c r="R794" s="13"/>
      <c r="S794" s="13"/>
      <c r="T794" s="13"/>
      <c r="U794" s="13"/>
    </row>
    <row r="795">
      <c r="K795" s="12"/>
      <c r="L795" s="12"/>
      <c r="M795" s="12"/>
      <c r="N795" s="12"/>
      <c r="R795" s="13"/>
      <c r="S795" s="13"/>
      <c r="T795" s="13"/>
      <c r="U795" s="13"/>
    </row>
    <row r="796">
      <c r="K796" s="12"/>
      <c r="L796" s="12"/>
      <c r="M796" s="12"/>
      <c r="N796" s="12"/>
      <c r="R796" s="13"/>
      <c r="S796" s="13"/>
      <c r="T796" s="13"/>
      <c r="U796" s="13"/>
    </row>
    <row r="797">
      <c r="K797" s="12"/>
      <c r="L797" s="12"/>
      <c r="M797" s="12"/>
      <c r="N797" s="12"/>
      <c r="R797" s="13"/>
      <c r="S797" s="13"/>
      <c r="T797" s="13"/>
      <c r="U797" s="13"/>
    </row>
    <row r="798">
      <c r="K798" s="12"/>
      <c r="L798" s="12"/>
      <c r="M798" s="12"/>
      <c r="N798" s="12"/>
      <c r="R798" s="13"/>
      <c r="S798" s="13"/>
      <c r="T798" s="13"/>
      <c r="U798" s="13"/>
    </row>
    <row r="799">
      <c r="K799" s="12"/>
      <c r="L799" s="12"/>
      <c r="M799" s="12"/>
      <c r="N799" s="12"/>
      <c r="R799" s="13"/>
      <c r="S799" s="13"/>
      <c r="T799" s="13"/>
      <c r="U799" s="13"/>
    </row>
    <row r="800">
      <c r="K800" s="12"/>
      <c r="L800" s="12"/>
      <c r="M800" s="12"/>
      <c r="N800" s="12"/>
      <c r="R800" s="13"/>
      <c r="S800" s="13"/>
      <c r="T800" s="13"/>
      <c r="U800" s="13"/>
    </row>
    <row r="801">
      <c r="K801" s="12"/>
      <c r="L801" s="12"/>
      <c r="M801" s="12"/>
      <c r="N801" s="12"/>
      <c r="R801" s="13"/>
      <c r="S801" s="13"/>
      <c r="T801" s="13"/>
      <c r="U801" s="13"/>
    </row>
    <row r="802">
      <c r="K802" s="12"/>
      <c r="L802" s="12"/>
      <c r="M802" s="12"/>
      <c r="N802" s="12"/>
      <c r="R802" s="13"/>
      <c r="S802" s="13"/>
      <c r="T802" s="13"/>
      <c r="U802" s="13"/>
    </row>
    <row r="803">
      <c r="K803" s="12"/>
      <c r="L803" s="12"/>
      <c r="M803" s="12"/>
      <c r="N803" s="12"/>
      <c r="R803" s="13"/>
      <c r="S803" s="13"/>
      <c r="T803" s="13"/>
      <c r="U803" s="13"/>
    </row>
    <row r="804">
      <c r="K804" s="12"/>
      <c r="L804" s="12"/>
      <c r="M804" s="12"/>
      <c r="N804" s="12"/>
      <c r="R804" s="13"/>
      <c r="S804" s="13"/>
      <c r="T804" s="13"/>
      <c r="U804" s="13"/>
    </row>
    <row r="805">
      <c r="K805" s="12"/>
      <c r="L805" s="12"/>
      <c r="M805" s="12"/>
      <c r="N805" s="12"/>
      <c r="R805" s="13"/>
      <c r="S805" s="13"/>
      <c r="T805" s="13"/>
      <c r="U805" s="13"/>
    </row>
    <row r="806">
      <c r="K806" s="12"/>
      <c r="L806" s="12"/>
      <c r="M806" s="12"/>
      <c r="N806" s="12"/>
      <c r="R806" s="13"/>
      <c r="S806" s="13"/>
      <c r="T806" s="13"/>
      <c r="U806" s="13"/>
    </row>
    <row r="807">
      <c r="K807" s="12"/>
      <c r="L807" s="12"/>
      <c r="M807" s="12"/>
      <c r="N807" s="12"/>
      <c r="R807" s="13"/>
      <c r="S807" s="13"/>
      <c r="T807" s="13"/>
      <c r="U807" s="13"/>
    </row>
    <row r="808">
      <c r="K808" s="12"/>
      <c r="L808" s="12"/>
      <c r="M808" s="12"/>
      <c r="N808" s="12"/>
      <c r="R808" s="13"/>
      <c r="S808" s="13"/>
      <c r="T808" s="13"/>
      <c r="U808" s="13"/>
    </row>
    <row r="809">
      <c r="K809" s="12"/>
      <c r="L809" s="12"/>
      <c r="M809" s="12"/>
      <c r="N809" s="12"/>
      <c r="R809" s="13"/>
      <c r="S809" s="13"/>
      <c r="T809" s="13"/>
      <c r="U809" s="13"/>
    </row>
    <row r="810">
      <c r="K810" s="12"/>
      <c r="L810" s="12"/>
      <c r="M810" s="12"/>
      <c r="N810" s="12"/>
      <c r="R810" s="13"/>
      <c r="S810" s="13"/>
      <c r="T810" s="13"/>
      <c r="U810" s="13"/>
    </row>
    <row r="811">
      <c r="K811" s="12"/>
      <c r="L811" s="12"/>
      <c r="M811" s="12"/>
      <c r="N811" s="12"/>
      <c r="R811" s="13"/>
      <c r="S811" s="13"/>
      <c r="T811" s="13"/>
      <c r="U811" s="13"/>
    </row>
    <row r="812">
      <c r="K812" s="12"/>
      <c r="L812" s="12"/>
      <c r="M812" s="12"/>
      <c r="N812" s="12"/>
      <c r="R812" s="13"/>
      <c r="S812" s="13"/>
      <c r="T812" s="13"/>
      <c r="U812" s="13"/>
    </row>
    <row r="813">
      <c r="K813" s="12"/>
      <c r="L813" s="12"/>
      <c r="M813" s="12"/>
      <c r="N813" s="12"/>
      <c r="R813" s="13"/>
      <c r="S813" s="13"/>
      <c r="T813" s="13"/>
      <c r="U813" s="13"/>
    </row>
    <row r="814">
      <c r="K814" s="12"/>
      <c r="L814" s="12"/>
      <c r="M814" s="12"/>
      <c r="N814" s="12"/>
      <c r="R814" s="13"/>
      <c r="S814" s="13"/>
      <c r="T814" s="13"/>
      <c r="U814" s="13"/>
    </row>
    <row r="815">
      <c r="K815" s="12"/>
      <c r="L815" s="12"/>
      <c r="M815" s="12"/>
      <c r="N815" s="12"/>
      <c r="R815" s="13"/>
      <c r="S815" s="13"/>
      <c r="T815" s="13"/>
      <c r="U815" s="13"/>
    </row>
    <row r="816">
      <c r="K816" s="12"/>
      <c r="L816" s="12"/>
      <c r="M816" s="12"/>
      <c r="N816" s="12"/>
      <c r="R816" s="13"/>
      <c r="S816" s="13"/>
      <c r="T816" s="13"/>
      <c r="U816" s="13"/>
    </row>
    <row r="817">
      <c r="K817" s="12"/>
      <c r="L817" s="12"/>
      <c r="M817" s="12"/>
      <c r="N817" s="12"/>
      <c r="R817" s="13"/>
      <c r="S817" s="13"/>
      <c r="T817" s="13"/>
      <c r="U817" s="13"/>
    </row>
    <row r="818">
      <c r="K818" s="12"/>
      <c r="L818" s="12"/>
      <c r="M818" s="12"/>
      <c r="N818" s="12"/>
      <c r="R818" s="13"/>
      <c r="S818" s="13"/>
      <c r="T818" s="13"/>
      <c r="U818" s="13"/>
    </row>
    <row r="819">
      <c r="K819" s="12"/>
      <c r="L819" s="12"/>
      <c r="M819" s="12"/>
      <c r="N819" s="12"/>
      <c r="R819" s="13"/>
      <c r="S819" s="13"/>
      <c r="T819" s="13"/>
      <c r="U819" s="13"/>
    </row>
    <row r="820">
      <c r="K820" s="12"/>
      <c r="L820" s="12"/>
      <c r="M820" s="12"/>
      <c r="N820" s="12"/>
      <c r="R820" s="13"/>
      <c r="S820" s="13"/>
      <c r="T820" s="13"/>
      <c r="U820" s="13"/>
    </row>
    <row r="821">
      <c r="K821" s="12"/>
      <c r="L821" s="12"/>
      <c r="M821" s="12"/>
      <c r="N821" s="12"/>
      <c r="R821" s="13"/>
      <c r="S821" s="13"/>
      <c r="T821" s="13"/>
      <c r="U821" s="13"/>
    </row>
    <row r="822">
      <c r="K822" s="12"/>
      <c r="L822" s="12"/>
      <c r="M822" s="12"/>
      <c r="N822" s="12"/>
      <c r="R822" s="13"/>
      <c r="S822" s="13"/>
      <c r="T822" s="13"/>
      <c r="U822" s="13"/>
    </row>
    <row r="823">
      <c r="K823" s="12"/>
      <c r="L823" s="12"/>
      <c r="M823" s="12"/>
      <c r="N823" s="12"/>
      <c r="R823" s="13"/>
      <c r="S823" s="13"/>
      <c r="T823" s="13"/>
      <c r="U823" s="13"/>
    </row>
    <row r="824">
      <c r="K824" s="12"/>
      <c r="L824" s="12"/>
      <c r="M824" s="12"/>
      <c r="N824" s="12"/>
      <c r="R824" s="13"/>
      <c r="S824" s="13"/>
      <c r="T824" s="13"/>
      <c r="U824" s="13"/>
    </row>
    <row r="825">
      <c r="K825" s="12"/>
      <c r="L825" s="12"/>
      <c r="M825" s="12"/>
      <c r="N825" s="12"/>
      <c r="R825" s="13"/>
      <c r="S825" s="13"/>
      <c r="T825" s="13"/>
      <c r="U825" s="13"/>
    </row>
    <row r="826">
      <c r="K826" s="12"/>
      <c r="L826" s="12"/>
      <c r="M826" s="12"/>
      <c r="N826" s="12"/>
      <c r="R826" s="13"/>
      <c r="S826" s="13"/>
      <c r="T826" s="13"/>
      <c r="U826" s="13"/>
    </row>
    <row r="827">
      <c r="K827" s="12"/>
      <c r="L827" s="12"/>
      <c r="M827" s="12"/>
      <c r="N827" s="12"/>
      <c r="R827" s="13"/>
      <c r="S827" s="13"/>
      <c r="T827" s="13"/>
      <c r="U827" s="13"/>
    </row>
    <row r="828">
      <c r="K828" s="12"/>
      <c r="L828" s="12"/>
      <c r="M828" s="12"/>
      <c r="N828" s="12"/>
      <c r="R828" s="13"/>
      <c r="S828" s="13"/>
      <c r="T828" s="13"/>
      <c r="U828" s="13"/>
    </row>
    <row r="829">
      <c r="K829" s="12"/>
      <c r="L829" s="12"/>
      <c r="M829" s="12"/>
      <c r="N829" s="12"/>
      <c r="R829" s="13"/>
      <c r="S829" s="13"/>
      <c r="T829" s="13"/>
      <c r="U829" s="13"/>
    </row>
    <row r="830">
      <c r="K830" s="12"/>
      <c r="L830" s="12"/>
      <c r="M830" s="12"/>
      <c r="N830" s="12"/>
      <c r="R830" s="13"/>
      <c r="S830" s="13"/>
      <c r="T830" s="13"/>
      <c r="U830" s="13"/>
    </row>
    <row r="831">
      <c r="K831" s="12"/>
      <c r="L831" s="12"/>
      <c r="M831" s="12"/>
      <c r="N831" s="12"/>
      <c r="R831" s="13"/>
      <c r="S831" s="13"/>
      <c r="T831" s="13"/>
      <c r="U831" s="13"/>
    </row>
    <row r="832">
      <c r="K832" s="12"/>
      <c r="L832" s="12"/>
      <c r="M832" s="12"/>
      <c r="N832" s="12"/>
      <c r="R832" s="13"/>
      <c r="S832" s="13"/>
      <c r="T832" s="13"/>
      <c r="U832" s="13"/>
    </row>
    <row r="833">
      <c r="K833" s="12"/>
      <c r="L833" s="12"/>
      <c r="M833" s="12"/>
      <c r="N833" s="12"/>
      <c r="R833" s="13"/>
      <c r="S833" s="13"/>
      <c r="T833" s="13"/>
      <c r="U833" s="13"/>
    </row>
    <row r="834">
      <c r="K834" s="12"/>
      <c r="L834" s="12"/>
      <c r="M834" s="12"/>
      <c r="N834" s="12"/>
      <c r="R834" s="13"/>
      <c r="S834" s="13"/>
      <c r="T834" s="13"/>
      <c r="U834" s="13"/>
    </row>
    <row r="835">
      <c r="K835" s="12"/>
      <c r="L835" s="12"/>
      <c r="M835" s="12"/>
      <c r="N835" s="12"/>
      <c r="R835" s="13"/>
      <c r="S835" s="13"/>
      <c r="T835" s="13"/>
      <c r="U835" s="13"/>
    </row>
    <row r="836">
      <c r="K836" s="12"/>
      <c r="L836" s="12"/>
      <c r="M836" s="12"/>
      <c r="N836" s="12"/>
      <c r="R836" s="13"/>
      <c r="S836" s="13"/>
      <c r="T836" s="13"/>
      <c r="U836" s="13"/>
    </row>
    <row r="837">
      <c r="K837" s="12"/>
      <c r="L837" s="12"/>
      <c r="M837" s="12"/>
      <c r="N837" s="12"/>
      <c r="R837" s="13"/>
      <c r="S837" s="13"/>
      <c r="T837" s="13"/>
      <c r="U837" s="13"/>
    </row>
    <row r="838">
      <c r="K838" s="12"/>
      <c r="L838" s="12"/>
      <c r="M838" s="12"/>
      <c r="N838" s="12"/>
      <c r="R838" s="13"/>
      <c r="S838" s="13"/>
      <c r="T838" s="13"/>
      <c r="U838" s="13"/>
    </row>
    <row r="839">
      <c r="K839" s="12"/>
      <c r="L839" s="12"/>
      <c r="M839" s="12"/>
      <c r="N839" s="12"/>
      <c r="R839" s="13"/>
      <c r="S839" s="13"/>
      <c r="T839" s="13"/>
      <c r="U839" s="13"/>
    </row>
    <row r="840">
      <c r="K840" s="12"/>
      <c r="L840" s="12"/>
      <c r="M840" s="12"/>
      <c r="N840" s="12"/>
      <c r="R840" s="13"/>
      <c r="S840" s="13"/>
      <c r="T840" s="13"/>
      <c r="U840" s="13"/>
    </row>
    <row r="841">
      <c r="K841" s="12"/>
      <c r="L841" s="12"/>
      <c r="M841" s="12"/>
      <c r="N841" s="12"/>
      <c r="R841" s="13"/>
      <c r="S841" s="13"/>
      <c r="T841" s="13"/>
      <c r="U841" s="13"/>
    </row>
    <row r="842">
      <c r="K842" s="12"/>
      <c r="L842" s="12"/>
      <c r="M842" s="12"/>
      <c r="N842" s="12"/>
      <c r="R842" s="13"/>
      <c r="S842" s="13"/>
      <c r="T842" s="13"/>
      <c r="U842" s="13"/>
    </row>
    <row r="843">
      <c r="K843" s="12"/>
      <c r="L843" s="12"/>
      <c r="M843" s="12"/>
      <c r="N843" s="12"/>
      <c r="R843" s="13"/>
      <c r="S843" s="13"/>
      <c r="T843" s="13"/>
      <c r="U843" s="13"/>
    </row>
    <row r="844">
      <c r="K844" s="12"/>
      <c r="L844" s="12"/>
      <c r="M844" s="12"/>
      <c r="N844" s="12"/>
      <c r="R844" s="13"/>
      <c r="S844" s="13"/>
      <c r="T844" s="13"/>
      <c r="U844" s="13"/>
    </row>
    <row r="845">
      <c r="K845" s="12"/>
      <c r="L845" s="12"/>
      <c r="M845" s="12"/>
      <c r="N845" s="12"/>
      <c r="R845" s="13"/>
      <c r="S845" s="13"/>
      <c r="T845" s="13"/>
      <c r="U845" s="13"/>
    </row>
    <row r="846">
      <c r="K846" s="12"/>
      <c r="L846" s="12"/>
      <c r="M846" s="12"/>
      <c r="N846" s="12"/>
      <c r="R846" s="13"/>
      <c r="S846" s="13"/>
      <c r="T846" s="13"/>
      <c r="U846" s="13"/>
    </row>
    <row r="847">
      <c r="K847" s="12"/>
      <c r="L847" s="12"/>
      <c r="M847" s="12"/>
      <c r="N847" s="12"/>
      <c r="R847" s="13"/>
      <c r="S847" s="13"/>
      <c r="T847" s="13"/>
      <c r="U847" s="13"/>
    </row>
    <row r="848">
      <c r="K848" s="12"/>
      <c r="L848" s="12"/>
      <c r="M848" s="12"/>
      <c r="N848" s="12"/>
      <c r="R848" s="13"/>
      <c r="S848" s="13"/>
      <c r="T848" s="13"/>
      <c r="U848" s="13"/>
    </row>
    <row r="849">
      <c r="K849" s="12"/>
      <c r="L849" s="12"/>
      <c r="M849" s="12"/>
      <c r="N849" s="12"/>
      <c r="R849" s="13"/>
      <c r="S849" s="13"/>
      <c r="T849" s="13"/>
      <c r="U849" s="13"/>
    </row>
    <row r="850">
      <c r="K850" s="12"/>
      <c r="L850" s="12"/>
      <c r="M850" s="12"/>
      <c r="N850" s="12"/>
      <c r="R850" s="13"/>
      <c r="S850" s="13"/>
      <c r="T850" s="13"/>
      <c r="U850" s="13"/>
    </row>
    <row r="851">
      <c r="K851" s="12"/>
      <c r="L851" s="12"/>
      <c r="M851" s="12"/>
      <c r="N851" s="12"/>
      <c r="R851" s="13"/>
      <c r="S851" s="13"/>
      <c r="T851" s="13"/>
      <c r="U851" s="13"/>
    </row>
    <row r="852">
      <c r="K852" s="12"/>
      <c r="L852" s="12"/>
      <c r="M852" s="12"/>
      <c r="N852" s="12"/>
      <c r="R852" s="13"/>
      <c r="S852" s="13"/>
      <c r="T852" s="13"/>
      <c r="U852" s="13"/>
    </row>
    <row r="853">
      <c r="K853" s="12"/>
      <c r="L853" s="12"/>
      <c r="M853" s="12"/>
      <c r="N853" s="12"/>
      <c r="R853" s="13"/>
      <c r="S853" s="13"/>
      <c r="T853" s="13"/>
      <c r="U853" s="13"/>
    </row>
    <row r="854">
      <c r="K854" s="12"/>
      <c r="L854" s="12"/>
      <c r="M854" s="12"/>
      <c r="N854" s="12"/>
      <c r="R854" s="13"/>
      <c r="S854" s="13"/>
      <c r="T854" s="13"/>
      <c r="U854" s="13"/>
    </row>
    <row r="855">
      <c r="K855" s="12"/>
      <c r="L855" s="12"/>
      <c r="M855" s="12"/>
      <c r="N855" s="12"/>
      <c r="R855" s="13"/>
      <c r="S855" s="13"/>
      <c r="T855" s="13"/>
      <c r="U855" s="13"/>
    </row>
    <row r="856">
      <c r="K856" s="12"/>
      <c r="L856" s="12"/>
      <c r="M856" s="12"/>
      <c r="N856" s="12"/>
      <c r="R856" s="13"/>
      <c r="S856" s="13"/>
      <c r="T856" s="13"/>
      <c r="U856" s="13"/>
    </row>
    <row r="857">
      <c r="K857" s="12"/>
      <c r="L857" s="12"/>
      <c r="M857" s="12"/>
      <c r="N857" s="12"/>
      <c r="R857" s="13"/>
      <c r="S857" s="13"/>
      <c r="T857" s="13"/>
      <c r="U857" s="13"/>
    </row>
    <row r="858">
      <c r="K858" s="12"/>
      <c r="L858" s="12"/>
      <c r="M858" s="12"/>
      <c r="N858" s="12"/>
      <c r="R858" s="13"/>
      <c r="S858" s="13"/>
      <c r="T858" s="13"/>
      <c r="U858" s="13"/>
    </row>
    <row r="859">
      <c r="K859" s="12"/>
      <c r="L859" s="12"/>
      <c r="M859" s="12"/>
      <c r="N859" s="12"/>
      <c r="R859" s="13"/>
      <c r="S859" s="13"/>
      <c r="T859" s="13"/>
      <c r="U859" s="13"/>
    </row>
    <row r="860">
      <c r="K860" s="12"/>
      <c r="L860" s="12"/>
      <c r="M860" s="12"/>
      <c r="N860" s="12"/>
      <c r="R860" s="13"/>
      <c r="S860" s="13"/>
      <c r="T860" s="13"/>
      <c r="U860" s="13"/>
    </row>
    <row r="861">
      <c r="K861" s="12"/>
      <c r="L861" s="12"/>
      <c r="M861" s="12"/>
      <c r="N861" s="12"/>
      <c r="R861" s="13"/>
      <c r="S861" s="13"/>
      <c r="T861" s="13"/>
      <c r="U861" s="13"/>
    </row>
    <row r="862">
      <c r="K862" s="12"/>
      <c r="L862" s="12"/>
      <c r="M862" s="12"/>
      <c r="N862" s="12"/>
      <c r="R862" s="13"/>
      <c r="S862" s="13"/>
      <c r="T862" s="13"/>
      <c r="U862" s="13"/>
    </row>
    <row r="863">
      <c r="K863" s="12"/>
      <c r="L863" s="12"/>
      <c r="M863" s="12"/>
      <c r="N863" s="12"/>
      <c r="R863" s="13"/>
      <c r="S863" s="13"/>
      <c r="T863" s="13"/>
      <c r="U863" s="13"/>
    </row>
    <row r="864">
      <c r="K864" s="12"/>
      <c r="L864" s="12"/>
      <c r="M864" s="12"/>
      <c r="N864" s="12"/>
      <c r="R864" s="13"/>
      <c r="S864" s="13"/>
      <c r="T864" s="13"/>
      <c r="U864" s="13"/>
    </row>
    <row r="865">
      <c r="K865" s="12"/>
      <c r="L865" s="12"/>
      <c r="M865" s="12"/>
      <c r="N865" s="12"/>
      <c r="R865" s="13"/>
      <c r="S865" s="13"/>
      <c r="T865" s="13"/>
      <c r="U865" s="13"/>
    </row>
    <row r="866">
      <c r="K866" s="12"/>
      <c r="L866" s="12"/>
      <c r="M866" s="12"/>
      <c r="N866" s="12"/>
      <c r="R866" s="13"/>
      <c r="S866" s="13"/>
      <c r="T866" s="13"/>
      <c r="U866" s="13"/>
    </row>
    <row r="867">
      <c r="K867" s="12"/>
      <c r="L867" s="12"/>
      <c r="M867" s="12"/>
      <c r="N867" s="12"/>
      <c r="R867" s="13"/>
      <c r="S867" s="13"/>
      <c r="T867" s="13"/>
      <c r="U867" s="13"/>
    </row>
    <row r="868">
      <c r="K868" s="12"/>
      <c r="L868" s="12"/>
      <c r="M868" s="12"/>
      <c r="N868" s="12"/>
      <c r="R868" s="13"/>
      <c r="S868" s="13"/>
      <c r="T868" s="13"/>
      <c r="U868" s="13"/>
    </row>
    <row r="869">
      <c r="K869" s="12"/>
      <c r="L869" s="12"/>
      <c r="M869" s="12"/>
      <c r="N869" s="12"/>
      <c r="R869" s="13"/>
      <c r="S869" s="13"/>
      <c r="T869" s="13"/>
      <c r="U869" s="13"/>
    </row>
    <row r="870">
      <c r="K870" s="12"/>
      <c r="L870" s="12"/>
      <c r="M870" s="12"/>
      <c r="N870" s="12"/>
      <c r="R870" s="13"/>
      <c r="S870" s="13"/>
      <c r="T870" s="13"/>
      <c r="U870" s="13"/>
    </row>
    <row r="871">
      <c r="K871" s="12"/>
      <c r="L871" s="12"/>
      <c r="M871" s="12"/>
      <c r="N871" s="12"/>
      <c r="R871" s="13"/>
      <c r="S871" s="13"/>
      <c r="T871" s="13"/>
      <c r="U871" s="13"/>
    </row>
    <row r="872">
      <c r="K872" s="12"/>
      <c r="L872" s="12"/>
      <c r="M872" s="12"/>
      <c r="N872" s="12"/>
      <c r="R872" s="13"/>
      <c r="S872" s="13"/>
      <c r="T872" s="13"/>
      <c r="U872" s="13"/>
    </row>
    <row r="873">
      <c r="K873" s="12"/>
      <c r="L873" s="12"/>
      <c r="M873" s="12"/>
      <c r="N873" s="12"/>
      <c r="R873" s="13"/>
      <c r="S873" s="13"/>
      <c r="T873" s="13"/>
      <c r="U873" s="13"/>
    </row>
    <row r="874">
      <c r="K874" s="12"/>
      <c r="L874" s="12"/>
      <c r="M874" s="12"/>
      <c r="N874" s="12"/>
      <c r="R874" s="13"/>
      <c r="S874" s="13"/>
      <c r="T874" s="13"/>
      <c r="U874" s="13"/>
    </row>
    <row r="875">
      <c r="K875" s="12"/>
      <c r="L875" s="12"/>
      <c r="M875" s="12"/>
      <c r="N875" s="12"/>
      <c r="R875" s="13"/>
      <c r="S875" s="13"/>
      <c r="T875" s="13"/>
      <c r="U875" s="13"/>
    </row>
    <row r="876">
      <c r="K876" s="12"/>
      <c r="L876" s="12"/>
      <c r="M876" s="12"/>
      <c r="N876" s="12"/>
      <c r="R876" s="13"/>
      <c r="S876" s="13"/>
      <c r="T876" s="13"/>
      <c r="U876" s="13"/>
    </row>
    <row r="877">
      <c r="K877" s="12"/>
      <c r="L877" s="12"/>
      <c r="M877" s="12"/>
      <c r="N877" s="12"/>
      <c r="R877" s="13"/>
      <c r="S877" s="13"/>
      <c r="T877" s="13"/>
      <c r="U877" s="13"/>
    </row>
    <row r="878">
      <c r="K878" s="12"/>
      <c r="L878" s="12"/>
      <c r="M878" s="12"/>
      <c r="N878" s="12"/>
      <c r="R878" s="13"/>
      <c r="S878" s="13"/>
      <c r="T878" s="13"/>
      <c r="U878" s="13"/>
    </row>
    <row r="879">
      <c r="K879" s="12"/>
      <c r="L879" s="12"/>
      <c r="M879" s="12"/>
      <c r="N879" s="12"/>
      <c r="R879" s="13"/>
      <c r="S879" s="13"/>
      <c r="T879" s="13"/>
      <c r="U879" s="13"/>
    </row>
    <row r="880">
      <c r="K880" s="12"/>
      <c r="L880" s="12"/>
      <c r="M880" s="12"/>
      <c r="N880" s="12"/>
      <c r="R880" s="13"/>
      <c r="S880" s="13"/>
      <c r="T880" s="13"/>
      <c r="U880" s="13"/>
    </row>
    <row r="881">
      <c r="K881" s="12"/>
      <c r="L881" s="12"/>
      <c r="M881" s="12"/>
      <c r="N881" s="12"/>
      <c r="R881" s="13"/>
      <c r="S881" s="13"/>
      <c r="T881" s="13"/>
      <c r="U881" s="13"/>
    </row>
    <row r="882">
      <c r="K882" s="12"/>
      <c r="L882" s="12"/>
      <c r="M882" s="12"/>
      <c r="N882" s="12"/>
      <c r="R882" s="13"/>
      <c r="S882" s="13"/>
      <c r="T882" s="13"/>
      <c r="U882" s="13"/>
    </row>
    <row r="883">
      <c r="K883" s="12"/>
      <c r="L883" s="12"/>
      <c r="M883" s="12"/>
      <c r="N883" s="12"/>
      <c r="R883" s="13"/>
      <c r="S883" s="13"/>
      <c r="T883" s="13"/>
      <c r="U883" s="13"/>
    </row>
    <row r="884">
      <c r="K884" s="12"/>
      <c r="L884" s="12"/>
      <c r="M884" s="12"/>
      <c r="N884" s="12"/>
      <c r="R884" s="13"/>
      <c r="S884" s="13"/>
      <c r="T884" s="13"/>
      <c r="U884" s="13"/>
    </row>
    <row r="885">
      <c r="K885" s="12"/>
      <c r="L885" s="12"/>
      <c r="M885" s="12"/>
      <c r="N885" s="12"/>
      <c r="R885" s="13"/>
      <c r="S885" s="13"/>
      <c r="T885" s="13"/>
      <c r="U885" s="13"/>
    </row>
    <row r="886">
      <c r="K886" s="12"/>
      <c r="L886" s="12"/>
      <c r="M886" s="12"/>
      <c r="N886" s="12"/>
      <c r="R886" s="13"/>
      <c r="S886" s="13"/>
      <c r="T886" s="13"/>
      <c r="U886" s="13"/>
    </row>
    <row r="887">
      <c r="K887" s="12"/>
      <c r="L887" s="12"/>
      <c r="M887" s="12"/>
      <c r="N887" s="12"/>
      <c r="R887" s="13"/>
      <c r="S887" s="13"/>
      <c r="T887" s="13"/>
      <c r="U887" s="13"/>
    </row>
    <row r="888">
      <c r="K888" s="12"/>
      <c r="L888" s="12"/>
      <c r="M888" s="12"/>
      <c r="N888" s="12"/>
      <c r="R888" s="13"/>
      <c r="S888" s="13"/>
      <c r="T888" s="13"/>
      <c r="U888" s="13"/>
    </row>
    <row r="889">
      <c r="K889" s="12"/>
      <c r="L889" s="12"/>
      <c r="M889" s="12"/>
      <c r="N889" s="12"/>
      <c r="R889" s="13"/>
      <c r="S889" s="13"/>
      <c r="T889" s="13"/>
      <c r="U889" s="13"/>
    </row>
    <row r="890">
      <c r="K890" s="12"/>
      <c r="L890" s="12"/>
      <c r="M890" s="12"/>
      <c r="N890" s="12"/>
      <c r="R890" s="13"/>
      <c r="S890" s="13"/>
      <c r="T890" s="13"/>
      <c r="U890" s="13"/>
    </row>
    <row r="891">
      <c r="K891" s="12"/>
      <c r="L891" s="12"/>
      <c r="M891" s="12"/>
      <c r="N891" s="12"/>
      <c r="R891" s="13"/>
      <c r="S891" s="13"/>
      <c r="T891" s="13"/>
      <c r="U891" s="13"/>
    </row>
    <row r="892">
      <c r="K892" s="12"/>
      <c r="L892" s="12"/>
      <c r="M892" s="12"/>
      <c r="N892" s="12"/>
      <c r="R892" s="13"/>
      <c r="S892" s="13"/>
      <c r="T892" s="13"/>
      <c r="U892" s="13"/>
    </row>
    <row r="893">
      <c r="K893" s="12"/>
      <c r="L893" s="12"/>
      <c r="M893" s="12"/>
      <c r="N893" s="12"/>
      <c r="R893" s="13"/>
      <c r="S893" s="13"/>
      <c r="T893" s="13"/>
      <c r="U893" s="13"/>
    </row>
    <row r="894">
      <c r="K894" s="12"/>
      <c r="L894" s="12"/>
      <c r="M894" s="12"/>
      <c r="N894" s="12"/>
      <c r="R894" s="13"/>
      <c r="S894" s="13"/>
      <c r="T894" s="13"/>
      <c r="U894" s="13"/>
    </row>
    <row r="895">
      <c r="K895" s="12"/>
      <c r="L895" s="12"/>
      <c r="M895" s="12"/>
      <c r="N895" s="12"/>
      <c r="R895" s="13"/>
      <c r="S895" s="13"/>
      <c r="T895" s="13"/>
      <c r="U895" s="13"/>
    </row>
    <row r="896">
      <c r="K896" s="12"/>
      <c r="L896" s="12"/>
      <c r="M896" s="12"/>
      <c r="N896" s="12"/>
      <c r="R896" s="13"/>
      <c r="S896" s="13"/>
      <c r="T896" s="13"/>
      <c r="U896" s="13"/>
    </row>
    <row r="897">
      <c r="K897" s="12"/>
      <c r="L897" s="12"/>
      <c r="M897" s="12"/>
      <c r="N897" s="12"/>
      <c r="R897" s="13"/>
      <c r="S897" s="13"/>
      <c r="T897" s="13"/>
      <c r="U897" s="13"/>
    </row>
    <row r="898">
      <c r="K898" s="12"/>
      <c r="L898" s="12"/>
      <c r="M898" s="12"/>
      <c r="N898" s="12"/>
      <c r="R898" s="13"/>
      <c r="S898" s="13"/>
      <c r="T898" s="13"/>
      <c r="U898" s="13"/>
    </row>
    <row r="899">
      <c r="K899" s="12"/>
      <c r="L899" s="12"/>
      <c r="M899" s="12"/>
      <c r="N899" s="12"/>
      <c r="R899" s="13"/>
      <c r="S899" s="13"/>
      <c r="T899" s="13"/>
      <c r="U899" s="13"/>
    </row>
    <row r="900">
      <c r="K900" s="12"/>
      <c r="L900" s="12"/>
      <c r="M900" s="12"/>
      <c r="N900" s="12"/>
      <c r="R900" s="13"/>
      <c r="S900" s="13"/>
      <c r="T900" s="13"/>
      <c r="U900" s="13"/>
    </row>
    <row r="901">
      <c r="K901" s="12"/>
      <c r="L901" s="12"/>
      <c r="M901" s="12"/>
      <c r="N901" s="12"/>
      <c r="R901" s="13"/>
      <c r="S901" s="13"/>
      <c r="T901" s="13"/>
      <c r="U901" s="13"/>
    </row>
    <row r="902">
      <c r="K902" s="12"/>
      <c r="L902" s="12"/>
      <c r="M902" s="12"/>
      <c r="N902" s="12"/>
      <c r="R902" s="13"/>
      <c r="S902" s="13"/>
      <c r="T902" s="13"/>
      <c r="U902" s="13"/>
    </row>
    <row r="903">
      <c r="K903" s="12"/>
      <c r="L903" s="12"/>
      <c r="M903" s="12"/>
      <c r="N903" s="12"/>
      <c r="R903" s="13"/>
      <c r="S903" s="13"/>
      <c r="T903" s="13"/>
      <c r="U903" s="13"/>
    </row>
    <row r="904">
      <c r="K904" s="12"/>
      <c r="L904" s="12"/>
      <c r="M904" s="12"/>
      <c r="N904" s="12"/>
      <c r="R904" s="13"/>
      <c r="S904" s="13"/>
      <c r="T904" s="13"/>
      <c r="U904" s="13"/>
    </row>
    <row r="905">
      <c r="K905" s="12"/>
      <c r="L905" s="12"/>
      <c r="M905" s="12"/>
      <c r="N905" s="12"/>
      <c r="R905" s="13"/>
      <c r="S905" s="13"/>
      <c r="T905" s="13"/>
      <c r="U905" s="13"/>
    </row>
    <row r="906">
      <c r="K906" s="12"/>
      <c r="L906" s="12"/>
      <c r="M906" s="12"/>
      <c r="N906" s="12"/>
      <c r="R906" s="13"/>
      <c r="S906" s="13"/>
      <c r="T906" s="13"/>
      <c r="U906" s="13"/>
    </row>
    <row r="907">
      <c r="K907" s="12"/>
      <c r="L907" s="12"/>
      <c r="M907" s="12"/>
      <c r="N907" s="12"/>
      <c r="R907" s="13"/>
      <c r="S907" s="13"/>
      <c r="T907" s="13"/>
      <c r="U907" s="13"/>
    </row>
    <row r="908">
      <c r="K908" s="12"/>
      <c r="L908" s="12"/>
      <c r="M908" s="12"/>
      <c r="N908" s="12"/>
      <c r="R908" s="13"/>
      <c r="S908" s="13"/>
      <c r="T908" s="13"/>
      <c r="U908" s="13"/>
    </row>
    <row r="909">
      <c r="K909" s="12"/>
      <c r="L909" s="12"/>
      <c r="M909" s="12"/>
      <c r="N909" s="12"/>
      <c r="R909" s="13"/>
      <c r="S909" s="13"/>
      <c r="T909" s="13"/>
      <c r="U909" s="13"/>
    </row>
    <row r="910">
      <c r="K910" s="12"/>
      <c r="L910" s="12"/>
      <c r="M910" s="12"/>
      <c r="N910" s="12"/>
      <c r="R910" s="13"/>
      <c r="S910" s="13"/>
      <c r="T910" s="13"/>
      <c r="U910" s="13"/>
    </row>
    <row r="911">
      <c r="K911" s="12"/>
      <c r="L911" s="12"/>
      <c r="M911" s="12"/>
      <c r="N911" s="12"/>
      <c r="R911" s="13"/>
      <c r="S911" s="13"/>
      <c r="T911" s="13"/>
      <c r="U911" s="13"/>
    </row>
    <row r="912">
      <c r="K912" s="12"/>
      <c r="L912" s="12"/>
      <c r="M912" s="12"/>
      <c r="N912" s="12"/>
      <c r="R912" s="13"/>
      <c r="S912" s="13"/>
      <c r="T912" s="13"/>
      <c r="U912" s="13"/>
    </row>
    <row r="913">
      <c r="K913" s="12"/>
      <c r="L913" s="12"/>
      <c r="M913" s="12"/>
      <c r="N913" s="12"/>
      <c r="R913" s="13"/>
      <c r="S913" s="13"/>
      <c r="T913" s="13"/>
      <c r="U913" s="13"/>
    </row>
    <row r="914">
      <c r="K914" s="12"/>
      <c r="L914" s="12"/>
      <c r="M914" s="12"/>
      <c r="N914" s="12"/>
      <c r="R914" s="13"/>
      <c r="S914" s="13"/>
      <c r="T914" s="13"/>
      <c r="U914" s="13"/>
    </row>
    <row r="915">
      <c r="K915" s="12"/>
      <c r="L915" s="12"/>
      <c r="M915" s="12"/>
      <c r="N915" s="12"/>
      <c r="R915" s="13"/>
      <c r="S915" s="13"/>
      <c r="T915" s="13"/>
      <c r="U915" s="13"/>
    </row>
    <row r="916">
      <c r="K916" s="12"/>
      <c r="L916" s="12"/>
      <c r="M916" s="12"/>
      <c r="N916" s="12"/>
      <c r="R916" s="13"/>
      <c r="S916" s="13"/>
      <c r="T916" s="13"/>
      <c r="U916" s="13"/>
    </row>
    <row r="917">
      <c r="K917" s="12"/>
      <c r="L917" s="12"/>
      <c r="M917" s="12"/>
      <c r="N917" s="12"/>
      <c r="R917" s="13"/>
      <c r="S917" s="13"/>
      <c r="T917" s="13"/>
      <c r="U917" s="13"/>
    </row>
    <row r="918">
      <c r="K918" s="12"/>
      <c r="L918" s="12"/>
      <c r="M918" s="12"/>
      <c r="N918" s="12"/>
      <c r="R918" s="13"/>
      <c r="S918" s="13"/>
      <c r="T918" s="13"/>
      <c r="U918" s="13"/>
    </row>
    <row r="919">
      <c r="K919" s="12"/>
      <c r="L919" s="12"/>
      <c r="M919" s="12"/>
      <c r="N919" s="12"/>
      <c r="R919" s="13"/>
      <c r="S919" s="13"/>
      <c r="T919" s="13"/>
      <c r="U919" s="13"/>
    </row>
    <row r="920">
      <c r="K920" s="12"/>
      <c r="L920" s="12"/>
      <c r="M920" s="12"/>
      <c r="N920" s="12"/>
      <c r="R920" s="13"/>
      <c r="S920" s="13"/>
      <c r="T920" s="13"/>
      <c r="U920" s="13"/>
    </row>
    <row r="921">
      <c r="K921" s="12"/>
      <c r="L921" s="12"/>
      <c r="M921" s="12"/>
      <c r="N921" s="12"/>
      <c r="R921" s="13"/>
      <c r="S921" s="13"/>
      <c r="T921" s="13"/>
      <c r="U921" s="13"/>
    </row>
    <row r="922">
      <c r="K922" s="12"/>
      <c r="L922" s="12"/>
      <c r="M922" s="12"/>
      <c r="N922" s="12"/>
      <c r="R922" s="13"/>
      <c r="S922" s="13"/>
      <c r="T922" s="13"/>
      <c r="U922" s="13"/>
    </row>
    <row r="923">
      <c r="K923" s="12"/>
      <c r="L923" s="12"/>
      <c r="M923" s="12"/>
      <c r="N923" s="12"/>
      <c r="R923" s="13"/>
      <c r="S923" s="13"/>
      <c r="T923" s="13"/>
      <c r="U923" s="13"/>
    </row>
    <row r="924">
      <c r="K924" s="12"/>
      <c r="L924" s="12"/>
      <c r="M924" s="12"/>
      <c r="N924" s="12"/>
      <c r="R924" s="13"/>
      <c r="S924" s="13"/>
      <c r="T924" s="13"/>
      <c r="U924" s="13"/>
    </row>
    <row r="925">
      <c r="K925" s="12"/>
      <c r="L925" s="12"/>
      <c r="M925" s="12"/>
      <c r="N925" s="12"/>
      <c r="R925" s="13"/>
      <c r="S925" s="13"/>
      <c r="T925" s="13"/>
      <c r="U925" s="13"/>
    </row>
    <row r="926">
      <c r="K926" s="12"/>
      <c r="L926" s="12"/>
      <c r="M926" s="12"/>
      <c r="N926" s="12"/>
      <c r="R926" s="13"/>
      <c r="S926" s="13"/>
      <c r="T926" s="13"/>
      <c r="U926" s="13"/>
    </row>
    <row r="927">
      <c r="K927" s="12"/>
      <c r="L927" s="12"/>
      <c r="M927" s="12"/>
      <c r="N927" s="12"/>
      <c r="R927" s="13"/>
      <c r="S927" s="13"/>
      <c r="T927" s="13"/>
      <c r="U927" s="13"/>
    </row>
    <row r="928">
      <c r="K928" s="12"/>
      <c r="L928" s="12"/>
      <c r="M928" s="12"/>
      <c r="N928" s="12"/>
      <c r="R928" s="13"/>
      <c r="S928" s="13"/>
      <c r="T928" s="13"/>
      <c r="U928" s="13"/>
    </row>
    <row r="929">
      <c r="K929" s="12"/>
      <c r="L929" s="12"/>
      <c r="M929" s="12"/>
      <c r="N929" s="12"/>
      <c r="R929" s="13"/>
      <c r="S929" s="13"/>
      <c r="T929" s="13"/>
      <c r="U929" s="13"/>
    </row>
    <row r="930">
      <c r="K930" s="12"/>
      <c r="L930" s="12"/>
      <c r="M930" s="12"/>
      <c r="N930" s="12"/>
      <c r="R930" s="13"/>
      <c r="S930" s="13"/>
      <c r="T930" s="13"/>
      <c r="U930" s="13"/>
    </row>
    <row r="931">
      <c r="K931" s="12"/>
      <c r="L931" s="12"/>
      <c r="M931" s="12"/>
      <c r="N931" s="12"/>
      <c r="R931" s="13"/>
      <c r="S931" s="13"/>
      <c r="T931" s="13"/>
      <c r="U931" s="13"/>
    </row>
    <row r="932">
      <c r="K932" s="12"/>
      <c r="L932" s="12"/>
      <c r="M932" s="12"/>
      <c r="N932" s="12"/>
      <c r="R932" s="13"/>
      <c r="S932" s="13"/>
      <c r="T932" s="13"/>
      <c r="U932" s="13"/>
    </row>
    <row r="933">
      <c r="K933" s="12"/>
      <c r="L933" s="12"/>
      <c r="M933" s="12"/>
      <c r="N933" s="12"/>
      <c r="R933" s="13"/>
      <c r="S933" s="13"/>
      <c r="T933" s="13"/>
      <c r="U933" s="13"/>
    </row>
    <row r="934">
      <c r="K934" s="12"/>
      <c r="L934" s="12"/>
      <c r="M934" s="12"/>
      <c r="N934" s="12"/>
      <c r="R934" s="13"/>
      <c r="S934" s="13"/>
      <c r="T934" s="13"/>
      <c r="U934" s="13"/>
    </row>
    <row r="935">
      <c r="K935" s="12"/>
      <c r="L935" s="12"/>
      <c r="M935" s="12"/>
      <c r="N935" s="12"/>
      <c r="R935" s="13"/>
      <c r="S935" s="13"/>
      <c r="T935" s="13"/>
      <c r="U935" s="13"/>
    </row>
    <row r="936">
      <c r="K936" s="12"/>
      <c r="L936" s="12"/>
      <c r="M936" s="12"/>
      <c r="N936" s="12"/>
      <c r="R936" s="13"/>
      <c r="S936" s="13"/>
      <c r="T936" s="13"/>
      <c r="U936" s="13"/>
    </row>
    <row r="937">
      <c r="K937" s="12"/>
      <c r="L937" s="12"/>
      <c r="M937" s="12"/>
      <c r="N937" s="12"/>
      <c r="R937" s="13"/>
      <c r="S937" s="13"/>
      <c r="T937" s="13"/>
      <c r="U937" s="13"/>
    </row>
    <row r="938">
      <c r="K938" s="12"/>
      <c r="L938" s="12"/>
      <c r="M938" s="12"/>
      <c r="N938" s="12"/>
      <c r="R938" s="13"/>
      <c r="S938" s="13"/>
      <c r="T938" s="13"/>
      <c r="U938" s="13"/>
    </row>
    <row r="939">
      <c r="K939" s="12"/>
      <c r="L939" s="12"/>
      <c r="M939" s="12"/>
      <c r="N939" s="12"/>
      <c r="R939" s="13"/>
      <c r="S939" s="13"/>
      <c r="T939" s="13"/>
      <c r="U939" s="13"/>
    </row>
    <row r="940">
      <c r="K940" s="12"/>
      <c r="L940" s="12"/>
      <c r="M940" s="12"/>
      <c r="N940" s="12"/>
      <c r="R940" s="13"/>
      <c r="S940" s="13"/>
      <c r="T940" s="13"/>
      <c r="U940" s="13"/>
    </row>
    <row r="941">
      <c r="K941" s="12"/>
      <c r="L941" s="12"/>
      <c r="M941" s="12"/>
      <c r="N941" s="12"/>
      <c r="R941" s="13"/>
      <c r="S941" s="13"/>
      <c r="T941" s="13"/>
      <c r="U941" s="13"/>
    </row>
    <row r="942">
      <c r="K942" s="12"/>
      <c r="L942" s="12"/>
      <c r="M942" s="12"/>
      <c r="N942" s="12"/>
      <c r="R942" s="13"/>
      <c r="S942" s="13"/>
      <c r="T942" s="13"/>
      <c r="U942" s="13"/>
    </row>
    <row r="943">
      <c r="K943" s="12"/>
      <c r="L943" s="12"/>
      <c r="M943" s="12"/>
      <c r="N943" s="12"/>
      <c r="R943" s="13"/>
      <c r="S943" s="13"/>
      <c r="T943" s="13"/>
      <c r="U943" s="13"/>
    </row>
    <row r="944">
      <c r="K944" s="12"/>
      <c r="L944" s="12"/>
      <c r="M944" s="12"/>
      <c r="N944" s="12"/>
      <c r="R944" s="13"/>
      <c r="S944" s="13"/>
      <c r="T944" s="13"/>
      <c r="U944" s="13"/>
    </row>
    <row r="945">
      <c r="K945" s="12"/>
      <c r="L945" s="12"/>
      <c r="M945" s="12"/>
      <c r="N945" s="12"/>
      <c r="R945" s="13"/>
      <c r="S945" s="13"/>
      <c r="T945" s="13"/>
      <c r="U945" s="13"/>
    </row>
    <row r="946">
      <c r="K946" s="12"/>
      <c r="L946" s="12"/>
      <c r="M946" s="12"/>
      <c r="N946" s="12"/>
      <c r="R946" s="13"/>
      <c r="S946" s="13"/>
      <c r="T946" s="13"/>
      <c r="U946" s="13"/>
    </row>
    <row r="947">
      <c r="K947" s="12"/>
      <c r="L947" s="12"/>
      <c r="M947" s="12"/>
      <c r="N947" s="12"/>
      <c r="R947" s="13"/>
      <c r="S947" s="13"/>
      <c r="T947" s="13"/>
      <c r="U947" s="13"/>
    </row>
    <row r="948">
      <c r="K948" s="12"/>
      <c r="L948" s="12"/>
      <c r="M948" s="12"/>
      <c r="N948" s="12"/>
      <c r="R948" s="13"/>
      <c r="S948" s="13"/>
      <c r="T948" s="13"/>
      <c r="U948" s="13"/>
    </row>
    <row r="949">
      <c r="K949" s="12"/>
      <c r="L949" s="12"/>
      <c r="M949" s="12"/>
      <c r="N949" s="12"/>
      <c r="R949" s="13"/>
      <c r="S949" s="13"/>
      <c r="T949" s="13"/>
      <c r="U949" s="13"/>
    </row>
    <row r="950">
      <c r="K950" s="12"/>
      <c r="L950" s="12"/>
      <c r="M950" s="12"/>
      <c r="N950" s="12"/>
      <c r="R950" s="13"/>
      <c r="S950" s="13"/>
      <c r="T950" s="13"/>
      <c r="U950" s="13"/>
    </row>
    <row r="951">
      <c r="K951" s="12"/>
      <c r="L951" s="12"/>
      <c r="M951" s="12"/>
      <c r="N951" s="12"/>
      <c r="R951" s="13"/>
      <c r="S951" s="13"/>
      <c r="T951" s="13"/>
      <c r="U951" s="13"/>
    </row>
    <row r="952">
      <c r="K952" s="12"/>
      <c r="L952" s="12"/>
      <c r="M952" s="12"/>
      <c r="N952" s="12"/>
      <c r="R952" s="13"/>
      <c r="S952" s="13"/>
      <c r="T952" s="13"/>
      <c r="U952" s="13"/>
    </row>
    <row r="953">
      <c r="K953" s="12"/>
      <c r="L953" s="12"/>
      <c r="M953" s="12"/>
      <c r="N953" s="12"/>
      <c r="R953" s="13"/>
      <c r="S953" s="13"/>
      <c r="T953" s="13"/>
      <c r="U953" s="13"/>
    </row>
    <row r="954">
      <c r="K954" s="12"/>
      <c r="L954" s="12"/>
      <c r="M954" s="12"/>
      <c r="N954" s="12"/>
      <c r="R954" s="13"/>
      <c r="S954" s="13"/>
      <c r="T954" s="13"/>
      <c r="U954" s="13"/>
    </row>
    <row r="955">
      <c r="K955" s="12"/>
      <c r="L955" s="12"/>
      <c r="M955" s="12"/>
      <c r="N955" s="12"/>
      <c r="R955" s="13"/>
      <c r="S955" s="13"/>
      <c r="T955" s="13"/>
      <c r="U955" s="13"/>
    </row>
    <row r="956">
      <c r="K956" s="12"/>
      <c r="L956" s="12"/>
      <c r="M956" s="12"/>
      <c r="N956" s="12"/>
      <c r="R956" s="13"/>
      <c r="S956" s="13"/>
      <c r="T956" s="13"/>
      <c r="U956" s="13"/>
    </row>
    <row r="957">
      <c r="K957" s="12"/>
      <c r="L957" s="12"/>
      <c r="M957" s="12"/>
      <c r="N957" s="12"/>
      <c r="R957" s="13"/>
      <c r="S957" s="13"/>
      <c r="T957" s="13"/>
      <c r="U957" s="13"/>
    </row>
    <row r="958">
      <c r="K958" s="12"/>
      <c r="L958" s="12"/>
      <c r="M958" s="12"/>
      <c r="N958" s="12"/>
      <c r="R958" s="13"/>
      <c r="S958" s="13"/>
      <c r="T958" s="13"/>
      <c r="U958" s="13"/>
    </row>
    <row r="959">
      <c r="K959" s="12"/>
      <c r="L959" s="12"/>
      <c r="M959" s="12"/>
      <c r="N959" s="12"/>
      <c r="R959" s="13"/>
      <c r="S959" s="13"/>
      <c r="T959" s="13"/>
      <c r="U959" s="13"/>
    </row>
    <row r="960">
      <c r="K960" s="12"/>
      <c r="L960" s="12"/>
      <c r="M960" s="12"/>
      <c r="N960" s="12"/>
      <c r="R960" s="13"/>
      <c r="S960" s="13"/>
      <c r="T960" s="13"/>
      <c r="U960" s="13"/>
    </row>
    <row r="961">
      <c r="K961" s="12"/>
      <c r="L961" s="12"/>
      <c r="M961" s="12"/>
      <c r="N961" s="12"/>
      <c r="R961" s="13"/>
      <c r="S961" s="13"/>
      <c r="T961" s="13"/>
      <c r="U961" s="13"/>
    </row>
    <row r="962">
      <c r="K962" s="12"/>
      <c r="L962" s="12"/>
      <c r="M962" s="12"/>
      <c r="N962" s="12"/>
      <c r="R962" s="13"/>
      <c r="S962" s="13"/>
      <c r="T962" s="13"/>
      <c r="U962" s="13"/>
    </row>
    <row r="963">
      <c r="K963" s="12"/>
      <c r="L963" s="12"/>
      <c r="M963" s="12"/>
      <c r="N963" s="12"/>
      <c r="R963" s="13"/>
      <c r="S963" s="13"/>
      <c r="T963" s="13"/>
      <c r="U963" s="13"/>
    </row>
    <row r="964">
      <c r="K964" s="12"/>
      <c r="L964" s="12"/>
      <c r="M964" s="12"/>
      <c r="N964" s="12"/>
      <c r="R964" s="13"/>
      <c r="S964" s="13"/>
      <c r="T964" s="13"/>
      <c r="U964" s="13"/>
    </row>
    <row r="965">
      <c r="K965" s="12"/>
      <c r="L965" s="12"/>
      <c r="M965" s="12"/>
      <c r="N965" s="12"/>
      <c r="R965" s="13"/>
      <c r="S965" s="13"/>
      <c r="T965" s="13"/>
      <c r="U965" s="13"/>
    </row>
    <row r="966">
      <c r="K966" s="12"/>
      <c r="L966" s="12"/>
      <c r="M966" s="12"/>
      <c r="N966" s="12"/>
      <c r="R966" s="13"/>
      <c r="S966" s="13"/>
      <c r="T966" s="13"/>
      <c r="U966" s="13"/>
    </row>
    <row r="967">
      <c r="K967" s="12"/>
      <c r="L967" s="12"/>
      <c r="M967" s="12"/>
      <c r="N967" s="12"/>
      <c r="R967" s="13"/>
      <c r="S967" s="13"/>
      <c r="T967" s="13"/>
      <c r="U967" s="13"/>
    </row>
    <row r="968">
      <c r="K968" s="12"/>
      <c r="L968" s="12"/>
      <c r="M968" s="12"/>
      <c r="N968" s="12"/>
      <c r="R968" s="13"/>
      <c r="S968" s="13"/>
      <c r="T968" s="13"/>
      <c r="U968" s="13"/>
    </row>
    <row r="969">
      <c r="K969" s="12"/>
      <c r="L969" s="12"/>
      <c r="M969" s="12"/>
      <c r="N969" s="12"/>
      <c r="R969" s="13"/>
      <c r="S969" s="13"/>
      <c r="T969" s="13"/>
      <c r="U969" s="13"/>
    </row>
    <row r="970">
      <c r="K970" s="12"/>
      <c r="L970" s="12"/>
      <c r="M970" s="12"/>
      <c r="N970" s="12"/>
      <c r="R970" s="13"/>
      <c r="S970" s="13"/>
      <c r="T970" s="13"/>
      <c r="U970" s="13"/>
    </row>
    <row r="971">
      <c r="K971" s="12"/>
      <c r="L971" s="12"/>
      <c r="M971" s="12"/>
      <c r="N971" s="12"/>
      <c r="R971" s="13"/>
      <c r="S971" s="13"/>
      <c r="T971" s="13"/>
      <c r="U971" s="13"/>
    </row>
    <row r="972">
      <c r="K972" s="12"/>
      <c r="L972" s="12"/>
      <c r="M972" s="12"/>
      <c r="N972" s="12"/>
      <c r="R972" s="13"/>
      <c r="S972" s="13"/>
      <c r="T972" s="13"/>
      <c r="U972" s="13"/>
    </row>
    <row r="973">
      <c r="K973" s="12"/>
      <c r="L973" s="12"/>
      <c r="M973" s="12"/>
      <c r="N973" s="12"/>
      <c r="R973" s="13"/>
      <c r="S973" s="13"/>
      <c r="T973" s="13"/>
      <c r="U973" s="13"/>
    </row>
    <row r="974">
      <c r="K974" s="12"/>
      <c r="L974" s="12"/>
      <c r="M974" s="12"/>
      <c r="N974" s="12"/>
      <c r="R974" s="13"/>
      <c r="S974" s="13"/>
      <c r="T974" s="13"/>
      <c r="U974" s="13"/>
    </row>
    <row r="975">
      <c r="K975" s="12"/>
      <c r="L975" s="12"/>
      <c r="M975" s="12"/>
      <c r="N975" s="12"/>
      <c r="R975" s="13"/>
      <c r="S975" s="13"/>
      <c r="T975" s="13"/>
      <c r="U975" s="13"/>
    </row>
    <row r="976">
      <c r="K976" s="12"/>
      <c r="L976" s="12"/>
      <c r="M976" s="12"/>
      <c r="N976" s="12"/>
      <c r="R976" s="13"/>
      <c r="S976" s="13"/>
      <c r="T976" s="13"/>
      <c r="U976" s="13"/>
    </row>
    <row r="977">
      <c r="K977" s="12"/>
      <c r="L977" s="12"/>
      <c r="M977" s="12"/>
      <c r="N977" s="12"/>
      <c r="R977" s="13"/>
      <c r="S977" s="13"/>
      <c r="T977" s="13"/>
      <c r="U977" s="13"/>
    </row>
    <row r="978">
      <c r="K978" s="12"/>
      <c r="L978" s="12"/>
      <c r="M978" s="12"/>
      <c r="N978" s="12"/>
      <c r="R978" s="13"/>
      <c r="S978" s="13"/>
      <c r="T978" s="13"/>
      <c r="U978" s="13"/>
    </row>
    <row r="979">
      <c r="K979" s="12"/>
      <c r="L979" s="12"/>
      <c r="M979" s="12"/>
      <c r="N979" s="12"/>
      <c r="R979" s="13"/>
      <c r="S979" s="13"/>
      <c r="T979" s="13"/>
      <c r="U979" s="13"/>
    </row>
    <row r="980">
      <c r="K980" s="12"/>
      <c r="L980" s="12"/>
      <c r="M980" s="12"/>
      <c r="N980" s="12"/>
      <c r="R980" s="13"/>
      <c r="S980" s="13"/>
      <c r="T980" s="13"/>
      <c r="U980" s="13"/>
    </row>
    <row r="981">
      <c r="K981" s="12"/>
      <c r="L981" s="12"/>
      <c r="M981" s="12"/>
      <c r="N981" s="12"/>
      <c r="R981" s="13"/>
      <c r="S981" s="13"/>
      <c r="T981" s="13"/>
      <c r="U981" s="13"/>
    </row>
    <row r="982">
      <c r="K982" s="12"/>
      <c r="L982" s="12"/>
      <c r="M982" s="12"/>
      <c r="N982" s="12"/>
      <c r="R982" s="13"/>
      <c r="S982" s="13"/>
      <c r="T982" s="13"/>
      <c r="U982" s="13"/>
    </row>
    <row r="983">
      <c r="K983" s="12"/>
      <c r="L983" s="12"/>
      <c r="M983" s="12"/>
      <c r="N983" s="12"/>
      <c r="R983" s="13"/>
      <c r="S983" s="13"/>
      <c r="T983" s="13"/>
      <c r="U983" s="13"/>
    </row>
    <row r="984">
      <c r="K984" s="12"/>
      <c r="L984" s="12"/>
      <c r="M984" s="12"/>
      <c r="N984" s="12"/>
      <c r="R984" s="13"/>
      <c r="S984" s="13"/>
      <c r="T984" s="13"/>
      <c r="U984" s="13"/>
    </row>
    <row r="985">
      <c r="K985" s="12"/>
      <c r="L985" s="12"/>
      <c r="M985" s="12"/>
      <c r="N985" s="12"/>
      <c r="R985" s="13"/>
      <c r="S985" s="13"/>
      <c r="T985" s="13"/>
      <c r="U985" s="13"/>
    </row>
    <row r="986">
      <c r="K986" s="12"/>
      <c r="L986" s="12"/>
      <c r="M986" s="12"/>
      <c r="N986" s="12"/>
      <c r="R986" s="13"/>
      <c r="S986" s="13"/>
      <c r="T986" s="13"/>
      <c r="U986" s="13"/>
    </row>
    <row r="987">
      <c r="K987" s="12"/>
      <c r="L987" s="12"/>
      <c r="M987" s="12"/>
      <c r="N987" s="12"/>
      <c r="R987" s="13"/>
      <c r="S987" s="13"/>
      <c r="T987" s="13"/>
      <c r="U987" s="13"/>
    </row>
    <row r="988">
      <c r="K988" s="12"/>
      <c r="L988" s="12"/>
      <c r="M988" s="12"/>
      <c r="N988" s="12"/>
      <c r="R988" s="13"/>
      <c r="S988" s="13"/>
      <c r="T988" s="13"/>
      <c r="U988" s="13"/>
    </row>
    <row r="989">
      <c r="K989" s="12"/>
      <c r="L989" s="12"/>
      <c r="M989" s="12"/>
      <c r="N989" s="12"/>
      <c r="R989" s="13"/>
      <c r="S989" s="13"/>
      <c r="T989" s="13"/>
      <c r="U989" s="13"/>
    </row>
    <row r="990">
      <c r="K990" s="12"/>
      <c r="L990" s="12"/>
      <c r="M990" s="12"/>
      <c r="N990" s="12"/>
      <c r="R990" s="13"/>
      <c r="S990" s="13"/>
      <c r="T990" s="13"/>
      <c r="U990" s="13"/>
    </row>
    <row r="991">
      <c r="K991" s="12"/>
      <c r="L991" s="12"/>
      <c r="M991" s="12"/>
      <c r="N991" s="12"/>
      <c r="R991" s="13"/>
      <c r="S991" s="13"/>
      <c r="T991" s="13"/>
      <c r="U991" s="13"/>
    </row>
    <row r="992">
      <c r="K992" s="12"/>
      <c r="L992" s="12"/>
      <c r="M992" s="12"/>
      <c r="N992" s="12"/>
      <c r="R992" s="13"/>
      <c r="S992" s="13"/>
      <c r="T992" s="13"/>
      <c r="U992" s="13"/>
    </row>
    <row r="993">
      <c r="K993" s="12"/>
      <c r="L993" s="12"/>
      <c r="M993" s="12"/>
      <c r="N993" s="12"/>
      <c r="R993" s="13"/>
      <c r="S993" s="13"/>
      <c r="T993" s="13"/>
      <c r="U993" s="13"/>
    </row>
    <row r="994">
      <c r="K994" s="12"/>
      <c r="L994" s="12"/>
      <c r="M994" s="12"/>
      <c r="N994" s="12"/>
      <c r="R994" s="13"/>
      <c r="S994" s="13"/>
      <c r="T994" s="13"/>
      <c r="U994" s="13"/>
    </row>
    <row r="995">
      <c r="K995" s="12"/>
      <c r="L995" s="12"/>
      <c r="M995" s="12"/>
      <c r="N995" s="12"/>
      <c r="R995" s="13"/>
      <c r="S995" s="13"/>
      <c r="T995" s="13"/>
      <c r="U995" s="13"/>
    </row>
    <row r="996">
      <c r="K996" s="12"/>
      <c r="L996" s="12"/>
      <c r="M996" s="12"/>
      <c r="N996" s="12"/>
      <c r="R996" s="13"/>
      <c r="S996" s="13"/>
      <c r="T996" s="13"/>
      <c r="U996" s="13"/>
    </row>
    <row r="997">
      <c r="K997" s="12"/>
      <c r="L997" s="12"/>
      <c r="M997" s="12"/>
      <c r="N997" s="12"/>
      <c r="R997" s="13"/>
      <c r="S997" s="13"/>
      <c r="T997" s="13"/>
      <c r="U997" s="13"/>
    </row>
    <row r="998">
      <c r="K998" s="12"/>
      <c r="L998" s="12"/>
      <c r="M998" s="12"/>
      <c r="N998" s="12"/>
      <c r="R998" s="13"/>
      <c r="S998" s="13"/>
      <c r="T998" s="13"/>
      <c r="U998" s="13"/>
    </row>
    <row r="999">
      <c r="K999" s="12"/>
      <c r="L999" s="12"/>
      <c r="M999" s="12"/>
      <c r="N999" s="12"/>
      <c r="R999" s="13"/>
      <c r="S999" s="13"/>
      <c r="T999" s="13"/>
      <c r="U999" s="13"/>
    </row>
    <row r="1000">
      <c r="K1000" s="12"/>
      <c r="L1000" s="12"/>
      <c r="M1000" s="12"/>
      <c r="N1000" s="12"/>
      <c r="R1000" s="13"/>
      <c r="S1000" s="13"/>
      <c r="T1000" s="13"/>
      <c r="U1000"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2" width="24.25"/>
    <col customWidth="1" min="13" max="13" width="28.13"/>
    <col customWidth="1" min="14" max="26" width="24.25"/>
  </cols>
  <sheetData>
    <row r="1">
      <c r="A1" s="1" t="s">
        <v>26</v>
      </c>
      <c r="B1" s="1" t="s">
        <v>120</v>
      </c>
      <c r="C1" s="1" t="s">
        <v>121</v>
      </c>
      <c r="D1" s="1" t="s">
        <v>98</v>
      </c>
      <c r="E1" s="1" t="s">
        <v>99</v>
      </c>
      <c r="F1" s="1" t="s">
        <v>100</v>
      </c>
      <c r="G1" s="1" t="s">
        <v>101</v>
      </c>
      <c r="H1" s="1" t="s">
        <v>122</v>
      </c>
      <c r="I1" s="1" t="s">
        <v>123</v>
      </c>
      <c r="J1" s="1" t="s">
        <v>115</v>
      </c>
      <c r="K1" s="1" t="s">
        <v>116</v>
      </c>
      <c r="L1" s="1" t="s">
        <v>117</v>
      </c>
      <c r="M1" s="1" t="s">
        <v>118</v>
      </c>
      <c r="N1" s="1" t="s">
        <v>120</v>
      </c>
      <c r="O1" s="1" t="s">
        <v>121</v>
      </c>
      <c r="P1" s="1" t="s">
        <v>122</v>
      </c>
      <c r="Q1" s="1" t="s">
        <v>123</v>
      </c>
      <c r="R1" s="1" t="s">
        <v>124</v>
      </c>
      <c r="S1" s="1" t="s">
        <v>125</v>
      </c>
      <c r="U1" s="1" t="s">
        <v>126</v>
      </c>
      <c r="V1" s="1" t="s">
        <v>127</v>
      </c>
    </row>
    <row r="2">
      <c r="A2" s="1" t="s">
        <v>42</v>
      </c>
      <c r="B2" s="11">
        <f>'COMPANY SUMMARY'!C2</f>
        <v>0.2702337889</v>
      </c>
      <c r="C2" s="11">
        <f>'COMPANY SUMMARY'!D2</f>
        <v>0.04539396874</v>
      </c>
      <c r="D2" s="11">
        <f>'COMPANY SUMMARY'!E2</f>
        <v>5.062058217</v>
      </c>
      <c r="E2" s="11">
        <f>'COMPANY SUMMARY'!F2</f>
        <v>0.1665680347</v>
      </c>
      <c r="F2" s="11">
        <f>'COMPANY SUMMARY'!G2</f>
        <v>0.3031460469</v>
      </c>
      <c r="G2" s="11">
        <f>'COMPANY SUMMARY'!H2</f>
        <v>0.5524240497</v>
      </c>
      <c r="H2" s="11">
        <f>'COMPANY SUMMARY'!I2</f>
        <v>16.52333333</v>
      </c>
      <c r="I2" s="11">
        <f>'COMPANY SUMMARY'!J2</f>
        <v>4.005</v>
      </c>
      <c r="J2" s="11">
        <f t="shared" ref="J2:J7" si="1">AVERAGE(N2:Q2)</f>
        <v>9.651590982</v>
      </c>
      <c r="K2" s="11">
        <f t="shared" ref="K2:K7" si="2">AVERAGE(R2:S2)</f>
        <v>48.66974334</v>
      </c>
      <c r="L2" s="11">
        <f t="shared" ref="L2:L7" si="3">0.3*T2+0.4*U2+0.3*V2</f>
        <v>22.1763516</v>
      </c>
      <c r="M2" s="11">
        <f t="shared" ref="M2:M7" si="4">(J2*0.4)+(K2*0.3)+(L2*0.3)</f>
        <v>25.11446487</v>
      </c>
      <c r="N2" s="11">
        <f t="shared" ref="N2:N7" si="5">(B2-MIN($B$2:$B$7))/(MAX($B$2:$B$7)-MIN($B$2:$B$7))*100</f>
        <v>13.90719515</v>
      </c>
      <c r="O2" s="11">
        <f t="shared" ref="O2:O7" si="6">(C2-MIN($C$2:$C$7))/(MAX($C$2:$C$7)-MIN($C$2:$C$7))*100</f>
        <v>21.43058041</v>
      </c>
      <c r="P2" s="11">
        <f t="shared" ref="P2:P7" si="7">(H2-MIN($H$2:$H$7))/(MAX($H$2:$H$7)-MIN($H$2:$H$7))*100</f>
        <v>3.268588368</v>
      </c>
      <c r="Q2" s="11">
        <f t="shared" ref="Q2:Q7" si="8">(I2-MIN($I$2:$I$7))/(MAX($I$2:$I$7)-MIN($I$2:$I$7))*100</f>
        <v>0</v>
      </c>
      <c r="R2" s="11">
        <f t="shared" ref="R2:R7" si="9">(F2-MIN($F$2:$F$7))/(MAX($F$2:$F$7)-MIN($F$2:$F$7))*100</f>
        <v>14.8268285</v>
      </c>
      <c r="S2" s="11">
        <f t="shared" ref="S2:S7" si="10">(G2-MIN($G$2:$G$7))/(MAX($G$2:$G$7)-MIN($G$2:$G$7))*100</f>
        <v>82.51265818</v>
      </c>
      <c r="T2" s="11">
        <f t="shared" ref="T2:T7" si="11">(C2-MIN($C$2:$C$7))/(MAX($C$2:$C$7)-MIN($C$2:$C$7))*100</f>
        <v>21.43058041</v>
      </c>
      <c r="U2" s="11">
        <f t="shared" ref="U2:U7" si="12">(E2-MIN($E$2:$E$7))/(MAX($E$2:$E$7)-MIN($E$2:$E$7))*100</f>
        <v>31.36515926</v>
      </c>
      <c r="V2" s="11">
        <f t="shared" ref="V2:V7" si="13">(MAX($D$2:$D$7)-D2)/(MAX($D$2:$D$7)-MIN($D$2:$D$7))*100</f>
        <v>10.67037925</v>
      </c>
    </row>
    <row r="3">
      <c r="A3" s="1" t="s">
        <v>49</v>
      </c>
      <c r="B3" s="11">
        <f>'COMPANY SUMMARY'!C3</f>
        <v>0.2198040741</v>
      </c>
      <c r="C3" s="11">
        <f>'COMPANY SUMMARY'!D3</f>
        <v>0.02868079972</v>
      </c>
      <c r="D3" s="11">
        <f>'COMPANY SUMMARY'!E3</f>
        <v>6.745399258</v>
      </c>
      <c r="E3" s="11">
        <f>'COMPANY SUMMARY'!F3</f>
        <v>0.130757035</v>
      </c>
      <c r="F3" s="11">
        <f>'COMPANY SUMMARY'!G3</f>
        <v>0.3186212932</v>
      </c>
      <c r="G3" s="11">
        <f>'COMPANY SUMMARY'!H3</f>
        <v>0.5065374544</v>
      </c>
      <c r="H3" s="11">
        <f>'COMPANY SUMMARY'!I3</f>
        <v>17</v>
      </c>
      <c r="I3" s="11">
        <f>'COMPANY SUMMARY'!J3</f>
        <v>4.108333333</v>
      </c>
      <c r="J3" s="11">
        <f t="shared" si="1"/>
        <v>5.651591363</v>
      </c>
      <c r="K3" s="11">
        <f t="shared" si="2"/>
        <v>48.41574288</v>
      </c>
      <c r="L3" s="11">
        <f t="shared" si="3"/>
        <v>11.20340759</v>
      </c>
      <c r="M3" s="11">
        <f t="shared" si="4"/>
        <v>20.14638169</v>
      </c>
      <c r="N3" s="11">
        <f t="shared" si="5"/>
        <v>10.74636957</v>
      </c>
      <c r="O3" s="11">
        <f t="shared" si="6"/>
        <v>8.211055507</v>
      </c>
      <c r="P3" s="11">
        <f t="shared" si="7"/>
        <v>3.584939053</v>
      </c>
      <c r="Q3" s="11">
        <f t="shared" si="8"/>
        <v>0.06400132132</v>
      </c>
      <c r="R3" s="11">
        <f t="shared" si="9"/>
        <v>17.83195638</v>
      </c>
      <c r="S3" s="11">
        <f t="shared" si="10"/>
        <v>78.99952939</v>
      </c>
      <c r="T3" s="11">
        <f t="shared" si="11"/>
        <v>8.211055507</v>
      </c>
      <c r="U3" s="11">
        <f t="shared" si="12"/>
        <v>21.85022735</v>
      </c>
      <c r="V3" s="11">
        <f t="shared" si="13"/>
        <v>0</v>
      </c>
    </row>
    <row r="4">
      <c r="A4" s="1" t="s">
        <v>57</v>
      </c>
      <c r="B4" s="11">
        <f>'COMPANY SUMMARY'!C4</f>
        <v>1.643810246</v>
      </c>
      <c r="C4" s="11">
        <f>'COMPANY SUMMARY'!D4</f>
        <v>0.07359747484</v>
      </c>
      <c r="D4" s="11">
        <f>'COMPANY SUMMARY'!E4</f>
        <v>-9.030432156</v>
      </c>
      <c r="E4" s="11">
        <f>'COMPANY SUMMARY'!F4</f>
        <v>0.04852013704</v>
      </c>
      <c r="F4" s="11">
        <f>'COMPANY SUMMARY'!G4</f>
        <v>0.2267936147</v>
      </c>
      <c r="G4" s="11">
        <f>'COMPANY SUMMARY'!H4</f>
        <v>-0.5253118319</v>
      </c>
      <c r="H4" s="11">
        <f>'COMPANY SUMMARY'!I4</f>
        <v>11.59833333</v>
      </c>
      <c r="I4" s="11">
        <f>'COMPANY SUMMARY'!J4</f>
        <v>10.61666667</v>
      </c>
      <c r="J4" s="11">
        <f t="shared" si="1"/>
        <v>36.95840184</v>
      </c>
      <c r="K4" s="11">
        <f t="shared" si="2"/>
        <v>0</v>
      </c>
      <c r="L4" s="11">
        <f t="shared" si="3"/>
        <v>43.12156653</v>
      </c>
      <c r="M4" s="11">
        <f t="shared" si="4"/>
        <v>27.7198307</v>
      </c>
      <c r="N4" s="11">
        <f t="shared" si="5"/>
        <v>100</v>
      </c>
      <c r="O4" s="11">
        <f t="shared" si="6"/>
        <v>43.73855509</v>
      </c>
      <c r="P4" s="11">
        <f t="shared" si="7"/>
        <v>0</v>
      </c>
      <c r="Q4" s="11">
        <f t="shared" si="8"/>
        <v>4.095052285</v>
      </c>
      <c r="R4" s="11">
        <f t="shared" si="9"/>
        <v>0</v>
      </c>
      <c r="S4" s="11">
        <f t="shared" si="10"/>
        <v>0</v>
      </c>
      <c r="T4" s="11">
        <f t="shared" si="11"/>
        <v>43.73855509</v>
      </c>
      <c r="U4" s="11">
        <f t="shared" si="12"/>
        <v>0</v>
      </c>
      <c r="V4" s="11">
        <f t="shared" si="13"/>
        <v>100</v>
      </c>
    </row>
    <row r="5">
      <c r="A5" s="1" t="s">
        <v>75</v>
      </c>
      <c r="B5" s="11">
        <f>'COMPANY SUMMARY'!C5</f>
        <v>0.3195602338</v>
      </c>
      <c r="C5" s="11">
        <f>'COMPANY SUMMARY'!D5</f>
        <v>0.1328823043</v>
      </c>
      <c r="D5" s="11">
        <f>'COMPANY SUMMARY'!E5</f>
        <v>1.442889271</v>
      </c>
      <c r="E5" s="11">
        <f>'COMPANY SUMMARY'!F5</f>
        <v>0.4126487971</v>
      </c>
      <c r="F5" s="11">
        <f>'COMPANY SUMMARY'!G5</f>
        <v>0.2702304821</v>
      </c>
      <c r="G5" s="11">
        <f>'COMPANY SUMMARY'!H5</f>
        <v>0.3364336808</v>
      </c>
      <c r="H5" s="11">
        <f>'COMPANY SUMMARY'!I5</f>
        <v>29.28666667</v>
      </c>
      <c r="I5" s="11">
        <f>'COMPANY SUMMARY'!J5</f>
        <v>26.83333333</v>
      </c>
      <c r="J5" s="11">
        <f t="shared" si="1"/>
        <v>33.37700547</v>
      </c>
      <c r="K5" s="11">
        <f t="shared" si="2"/>
        <v>37.20558594</v>
      </c>
      <c r="L5" s="11">
        <f t="shared" si="3"/>
        <v>75.97209577</v>
      </c>
      <c r="M5" s="11">
        <f t="shared" si="4"/>
        <v>47.3041067</v>
      </c>
      <c r="N5" s="11">
        <f t="shared" si="5"/>
        <v>16.99887015</v>
      </c>
      <c r="O5" s="11">
        <f t="shared" si="6"/>
        <v>90.630756</v>
      </c>
      <c r="P5" s="11">
        <f t="shared" si="7"/>
        <v>11.73926509</v>
      </c>
      <c r="Q5" s="11">
        <f t="shared" si="8"/>
        <v>14.13913061</v>
      </c>
      <c r="R5" s="11">
        <f t="shared" si="9"/>
        <v>8.434976662</v>
      </c>
      <c r="S5" s="11">
        <f t="shared" si="10"/>
        <v>65.97619522</v>
      </c>
      <c r="T5" s="11">
        <f t="shared" si="11"/>
        <v>90.630756</v>
      </c>
      <c r="U5" s="11">
        <f t="shared" si="12"/>
        <v>96.7484694</v>
      </c>
      <c r="V5" s="11">
        <f t="shared" si="13"/>
        <v>33.61160403</v>
      </c>
    </row>
    <row r="6">
      <c r="A6" s="1" t="s">
        <v>119</v>
      </c>
      <c r="B6" s="11">
        <f>'COMPANY SUMMARY'!C6</f>
        <v>0.04835002203</v>
      </c>
      <c r="C6" s="11">
        <f>'COMPANY SUMMARY'!D6</f>
        <v>0.01829973387</v>
      </c>
      <c r="D6" s="11">
        <f>'COMPANY SUMMARY'!E6</f>
        <v>1.52608185</v>
      </c>
      <c r="E6" s="11">
        <f>'COMPANY SUMMARY'!F6</f>
        <v>0.4248864633</v>
      </c>
      <c r="F6" s="11">
        <f>'COMPANY SUMMARY'!G6</f>
        <v>0.693525835</v>
      </c>
      <c r="G6" s="11">
        <f>'COMPANY SUMMARY'!H6</f>
        <v>-0.006577024065</v>
      </c>
      <c r="H6" s="11">
        <f>'COMPANY SUMMARY'!I6</f>
        <v>162.275</v>
      </c>
      <c r="I6" s="11">
        <f>'COMPANY SUMMARY'!J6</f>
        <v>165.46</v>
      </c>
      <c r="J6" s="11">
        <f t="shared" si="1"/>
        <v>50</v>
      </c>
      <c r="K6" s="11">
        <f t="shared" si="2"/>
        <v>65.17466817</v>
      </c>
      <c r="L6" s="11">
        <f t="shared" si="3"/>
        <v>49.92527862</v>
      </c>
      <c r="M6" s="11">
        <f t="shared" si="4"/>
        <v>54.52998404</v>
      </c>
      <c r="N6" s="11">
        <f t="shared" si="5"/>
        <v>0</v>
      </c>
      <c r="O6" s="11">
        <f t="shared" si="6"/>
        <v>0</v>
      </c>
      <c r="P6" s="11">
        <f t="shared" si="7"/>
        <v>100</v>
      </c>
      <c r="Q6" s="11">
        <f t="shared" si="8"/>
        <v>100</v>
      </c>
      <c r="R6" s="11">
        <f t="shared" si="9"/>
        <v>90.63442231</v>
      </c>
      <c r="S6" s="11">
        <f t="shared" si="10"/>
        <v>39.71491403</v>
      </c>
      <c r="T6" s="11">
        <f t="shared" si="11"/>
        <v>0</v>
      </c>
      <c r="U6" s="11">
        <f t="shared" si="12"/>
        <v>100</v>
      </c>
      <c r="V6" s="11">
        <f t="shared" si="13"/>
        <v>33.08426206</v>
      </c>
    </row>
    <row r="7">
      <c r="A7" s="1" t="s">
        <v>65</v>
      </c>
      <c r="B7" s="11">
        <f>'COMPANY SUMMARY'!C7</f>
        <v>0.4495120953</v>
      </c>
      <c r="C7" s="11">
        <f>'COMPANY SUMMARY'!D7</f>
        <v>0.1447276437</v>
      </c>
      <c r="D7" s="11">
        <f>'COMPANY SUMMARY'!E7</f>
        <v>2.183240098</v>
      </c>
      <c r="E7" s="11">
        <f>'COMPANY SUMMARY'!F7</f>
        <v>0.3456431869</v>
      </c>
      <c r="F7" s="11">
        <f>'COMPANY SUMMARY'!G7</f>
        <v>0.7417549378</v>
      </c>
      <c r="G7" s="11">
        <f>'COMPANY SUMMARY'!H7</f>
        <v>0.7808342861</v>
      </c>
      <c r="H7" s="11">
        <f>'COMPANY SUMMARY'!I7</f>
        <v>52.384</v>
      </c>
      <c r="I7" s="11">
        <f>'COMPANY SUMMARY'!J7</f>
        <v>28.88666667</v>
      </c>
      <c r="J7" s="11">
        <f t="shared" si="1"/>
        <v>41.90580176</v>
      </c>
      <c r="K7" s="11">
        <f t="shared" si="2"/>
        <v>100</v>
      </c>
      <c r="L7" s="11">
        <f t="shared" si="3"/>
        <v>70.25366768</v>
      </c>
      <c r="M7" s="11">
        <f t="shared" si="4"/>
        <v>67.83842101</v>
      </c>
      <c r="N7" s="11">
        <f t="shared" si="5"/>
        <v>25.14397208</v>
      </c>
      <c r="O7" s="11">
        <f t="shared" si="6"/>
        <v>100</v>
      </c>
      <c r="P7" s="11">
        <f t="shared" si="7"/>
        <v>27.06833617</v>
      </c>
      <c r="Q7" s="11">
        <f t="shared" si="8"/>
        <v>15.41089881</v>
      </c>
      <c r="R7" s="11">
        <f t="shared" si="9"/>
        <v>100</v>
      </c>
      <c r="S7" s="11">
        <f t="shared" si="10"/>
        <v>100</v>
      </c>
      <c r="T7" s="11">
        <f t="shared" si="11"/>
        <v>100</v>
      </c>
      <c r="U7" s="11">
        <f t="shared" si="12"/>
        <v>78.94517366</v>
      </c>
      <c r="V7" s="11">
        <f t="shared" si="13"/>
        <v>28.9186607</v>
      </c>
    </row>
    <row r="8">
      <c r="B8" s="11" t="str">
        <f>'COMPANY SUMMARY'!C8</f>
        <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2" width="18.5"/>
  </cols>
  <sheetData>
    <row r="1">
      <c r="A1" s="4" t="s">
        <v>26</v>
      </c>
      <c r="B1" s="4" t="s">
        <v>29</v>
      </c>
      <c r="C1" s="4" t="s">
        <v>128</v>
      </c>
      <c r="D1" s="4" t="s">
        <v>129</v>
      </c>
      <c r="E1" s="4" t="s">
        <v>130</v>
      </c>
      <c r="F1" s="4" t="s">
        <v>131</v>
      </c>
      <c r="G1" s="4" t="s">
        <v>132</v>
      </c>
      <c r="H1" s="4" t="s">
        <v>133</v>
      </c>
      <c r="I1" s="5"/>
      <c r="J1" s="5"/>
      <c r="K1" s="5"/>
      <c r="L1" s="5"/>
      <c r="M1" s="5"/>
      <c r="N1" s="5"/>
      <c r="O1" s="5"/>
      <c r="P1" s="5"/>
      <c r="Q1" s="5"/>
      <c r="R1" s="5"/>
      <c r="S1" s="5"/>
      <c r="T1" s="5"/>
      <c r="U1" s="5"/>
      <c r="V1" s="5"/>
    </row>
    <row r="2">
      <c r="A2" s="1" t="s">
        <v>42</v>
      </c>
      <c r="B2" s="1">
        <v>2020.0</v>
      </c>
      <c r="C2" s="13">
        <f>(RAW_DATA!I2/RAW_DATA!G2)</f>
        <v>0.24734898</v>
      </c>
      <c r="D2" s="13">
        <f>(RAW_DATA!I2/RAW_DATA!E2)</f>
        <v>0.04073894125</v>
      </c>
      <c r="E2" s="11">
        <f>RAW_DATA!F2/RAW_DATA!G2</f>
        <v>5.071561322</v>
      </c>
      <c r="F2" s="13">
        <f>(RAW_DATA!G2/RAW_DATA!E2)</f>
        <v>0.1647022812</v>
      </c>
      <c r="G2" s="7" t="s">
        <v>59</v>
      </c>
      <c r="H2" s="7" t="s">
        <v>59</v>
      </c>
    </row>
    <row r="3">
      <c r="A3" s="1" t="s">
        <v>42</v>
      </c>
      <c r="B3" s="1">
        <v>2021.0</v>
      </c>
      <c r="C3" s="13">
        <f>(RAW_DATA!I3/RAW_DATA!G3)</f>
        <v>0.1979553034</v>
      </c>
      <c r="D3" s="13">
        <f>(RAW_DATA!I3/RAW_DATA!E3)</f>
        <v>0.03216305397</v>
      </c>
      <c r="E3" s="11">
        <f>RAW_DATA!F3/RAW_DATA!G3</f>
        <v>5.154742134</v>
      </c>
      <c r="F3" s="13">
        <f>(RAW_DATA!G3/RAW_DATA!E3)</f>
        <v>0.162476344</v>
      </c>
      <c r="G3" s="13">
        <f>((RAW_DATA!E3-RAW_DATA!E2)/RAW_DATA!E2)</f>
        <v>0.09937637179</v>
      </c>
      <c r="H3" s="13">
        <f>((RAW_DATA!I3-RAW_DATA!I2)/RAW_DATA!I2)</f>
        <v>-0.1320515336</v>
      </c>
    </row>
    <row r="4">
      <c r="A4" s="1" t="s">
        <v>42</v>
      </c>
      <c r="B4" s="1">
        <v>2022.0</v>
      </c>
      <c r="C4" s="13">
        <f>(RAW_DATA!I4/RAW_DATA!G4)</f>
        <v>0.1816824163</v>
      </c>
      <c r="D4" s="13">
        <f>(RAW_DATA!I4/RAW_DATA!E4)</f>
        <v>0.02624285743</v>
      </c>
      <c r="E4" s="11">
        <f>RAW_DATA!F4/RAW_DATA!G4</f>
        <v>5.923118674</v>
      </c>
      <c r="F4" s="13">
        <f>(RAW_DATA!G4/RAW_DATA!E4)</f>
        <v>0.1444435733</v>
      </c>
      <c r="G4" s="13">
        <f>((RAW_DATA!E4-RAW_DATA!E3)/RAW_DATA!E3)</f>
        <v>0.1858747106</v>
      </c>
      <c r="H4" s="13">
        <f>((RAW_DATA!I4-RAW_DATA!I3)/RAW_DATA!I3)</f>
        <v>-0.03240715297</v>
      </c>
    </row>
    <row r="5">
      <c r="A5" s="1" t="s">
        <v>42</v>
      </c>
      <c r="B5" s="1">
        <v>2023.0</v>
      </c>
      <c r="C5" s="13">
        <f>(RAW_DATA!I5/RAW_DATA!G5)</f>
        <v>0.365340477</v>
      </c>
      <c r="D5" s="13">
        <f>(RAW_DATA!I5/RAW_DATA!E5)</f>
        <v>0.05568470667</v>
      </c>
      <c r="E5" s="11">
        <f>RAW_DATA!F5/RAW_DATA!G5</f>
        <v>5.560876385</v>
      </c>
      <c r="F5" s="13">
        <f>(RAW_DATA!G5/RAW_DATA!E5)</f>
        <v>0.152418662</v>
      </c>
      <c r="G5" s="13">
        <f>((RAW_DATA!E5-RAW_DATA!E4)/RAW_DATA!E4)</f>
        <v>0.5033460297</v>
      </c>
      <c r="H5" s="13">
        <f>((RAW_DATA!I5-RAW_DATA!I4)/RAW_DATA!I4)</f>
        <v>2.189949224</v>
      </c>
    </row>
    <row r="6">
      <c r="A6" s="1" t="s">
        <v>42</v>
      </c>
      <c r="B6" s="1">
        <v>2024.0</v>
      </c>
      <c r="C6" s="13">
        <f>(RAW_DATA!I6/RAW_DATA!G6)</f>
        <v>0.3752935983</v>
      </c>
      <c r="D6" s="13">
        <f>(RAW_DATA!I6/RAW_DATA!E6)</f>
        <v>0.06879041742</v>
      </c>
      <c r="E6" s="11">
        <f>RAW_DATA!F6/RAW_DATA!G6</f>
        <v>4.455608678</v>
      </c>
      <c r="F6" s="13">
        <f>(RAW_DATA!G6/RAW_DATA!E6)</f>
        <v>0.1832976042</v>
      </c>
      <c r="G6" s="13">
        <f>((RAW_DATA!E6-RAW_DATA!E5)/RAW_DATA!E5)</f>
        <v>0.526707049</v>
      </c>
      <c r="H6" s="13">
        <f>((RAW_DATA!I6-RAW_DATA!I5)/RAW_DATA!I5)</f>
        <v>0.8860261905</v>
      </c>
    </row>
    <row r="7">
      <c r="A7" s="1" t="s">
        <v>42</v>
      </c>
      <c r="B7" s="1">
        <v>2025.0</v>
      </c>
      <c r="C7" s="13">
        <f>(RAW_DATA!I7/RAW_DATA!G7)</f>
        <v>0.2537819585</v>
      </c>
      <c r="D7" s="13">
        <f>(RAW_DATA!I7/RAW_DATA!E7)</f>
        <v>0.04874383568</v>
      </c>
      <c r="E7" s="11">
        <f>RAW_DATA!F7/RAW_DATA!G7</f>
        <v>4.206442107</v>
      </c>
      <c r="F7" s="13">
        <f>(RAW_DATA!G7/RAW_DATA!E7)</f>
        <v>0.1920697435</v>
      </c>
      <c r="G7" s="13">
        <f>((RAW_DATA!E7-RAW_DATA!E6)/RAW_DATA!E6)</f>
        <v>0.2004260734</v>
      </c>
      <c r="H7" s="13">
        <f>((RAW_DATA!I7-RAW_DATA!I6)/RAW_DATA!I6)</f>
        <v>-0.149396479</v>
      </c>
    </row>
    <row r="8">
      <c r="A8" s="1" t="s">
        <v>49</v>
      </c>
      <c r="B8" s="1">
        <v>2020.0</v>
      </c>
      <c r="C8" s="13">
        <f>(RAW_DATA!I8/RAW_DATA!G8)</f>
        <v>0.2063271327</v>
      </c>
      <c r="D8" s="13">
        <f>(RAW_DATA!I8/RAW_DATA!E8)</f>
        <v>0.02718518788</v>
      </c>
      <c r="E8" s="11">
        <f>RAW_DATA!F8/RAW_DATA!G8</f>
        <v>6.589689415</v>
      </c>
      <c r="F8" s="13">
        <f>(RAW_DATA!G8/RAW_DATA!E8)</f>
        <v>0.1317576972</v>
      </c>
      <c r="G8" s="7" t="s">
        <v>59</v>
      </c>
      <c r="H8" s="7" t="s">
        <v>59</v>
      </c>
    </row>
    <row r="9">
      <c r="A9" s="1" t="s">
        <v>49</v>
      </c>
      <c r="B9" s="1">
        <v>2021.0</v>
      </c>
      <c r="C9" s="13">
        <f>(RAW_DATA!I9/RAW_DATA!G9)</f>
        <v>0.1911114029</v>
      </c>
      <c r="D9" s="13">
        <f>(RAW_DATA!I9/RAW_DATA!E9)</f>
        <v>0.02588506181</v>
      </c>
      <c r="E9" s="11">
        <f>RAW_DATA!F9/RAW_DATA!G9</f>
        <v>6.383076938</v>
      </c>
      <c r="F9" s="13">
        <f>(RAW_DATA!G9/RAW_DATA!E9)</f>
        <v>0.1354448841</v>
      </c>
      <c r="G9" s="13">
        <f>((RAW_DATA!E9-RAW_DATA!E8)/RAW_DATA!E8)</f>
        <v>0.1139652031</v>
      </c>
      <c r="H9" s="13">
        <f>((RAW_DATA!I9-RAW_DATA!I8)/RAW_DATA!I8)</f>
        <v>0.06069004402</v>
      </c>
    </row>
    <row r="10">
      <c r="A10" s="1" t="s">
        <v>49</v>
      </c>
      <c r="B10" s="1">
        <v>2022.0</v>
      </c>
      <c r="C10" s="13">
        <f>(RAW_DATA!I10/RAW_DATA!G10)</f>
        <v>0.1623790738</v>
      </c>
      <c r="D10" s="13">
        <f>(RAW_DATA!I10/RAW_DATA!E10)</f>
        <v>0.01822544047</v>
      </c>
      <c r="E10" s="11">
        <f>RAW_DATA!F10/RAW_DATA!G10</f>
        <v>7.909473219</v>
      </c>
      <c r="F10" s="13">
        <f>(RAW_DATA!G10/RAW_DATA!E10)</f>
        <v>0.1122400815</v>
      </c>
      <c r="G10" s="13">
        <f>((RAW_DATA!E10-RAW_DATA!E9)/RAW_DATA!E9)</f>
        <v>0.3003633739</v>
      </c>
      <c r="H10" s="13">
        <f>((RAW_DATA!I10-RAW_DATA!I9)/RAW_DATA!I9)</f>
        <v>-0.08442578039</v>
      </c>
    </row>
    <row r="11">
      <c r="A11" s="1" t="s">
        <v>49</v>
      </c>
      <c r="B11" s="1">
        <v>2023.0</v>
      </c>
      <c r="C11" s="13">
        <f>(RAW_DATA!I11/RAW_DATA!G11)</f>
        <v>0.2913466587</v>
      </c>
      <c r="D11" s="13">
        <f>(RAW_DATA!I11/RAW_DATA!E11)</f>
        <v>0.03323320301</v>
      </c>
      <c r="E11" s="11">
        <f>RAW_DATA!F11/RAW_DATA!G11</f>
        <v>7.766734241</v>
      </c>
      <c r="F11" s="13">
        <f>(RAW_DATA!G11/RAW_DATA!E11)</f>
        <v>0.1140675618</v>
      </c>
      <c r="G11" s="13">
        <f>((RAW_DATA!E11-RAW_DATA!E10)/RAW_DATA!E10)</f>
        <v>0.657909009</v>
      </c>
      <c r="H11" s="13">
        <f>((RAW_DATA!I11-RAW_DATA!I10)/RAW_DATA!I10)</f>
        <v>2.023116327</v>
      </c>
    </row>
    <row r="12">
      <c r="A12" s="1" t="s">
        <v>49</v>
      </c>
      <c r="B12" s="1">
        <v>2024.0</v>
      </c>
      <c r="C12" s="13">
        <f>(RAW_DATA!I12/RAW_DATA!G12)</f>
        <v>0.2563477332</v>
      </c>
      <c r="D12" s="13">
        <f>(RAW_DATA!I12/RAW_DATA!E12)</f>
        <v>0.03447864935</v>
      </c>
      <c r="E12" s="11">
        <f>RAW_DATA!F12/RAW_DATA!G12</f>
        <v>6.434970279</v>
      </c>
      <c r="F12" s="13">
        <f>(RAW_DATA!G12/RAW_DATA!E12)</f>
        <v>0.1344995289</v>
      </c>
      <c r="G12" s="13">
        <f>((RAW_DATA!E12-RAW_DATA!E11)/RAW_DATA!E11)</f>
        <v>0.4707804298</v>
      </c>
      <c r="H12" s="13">
        <f>((RAW_DATA!I12-RAW_DATA!I11)/RAW_DATA!I11)</f>
        <v>0.5258993454</v>
      </c>
    </row>
    <row r="13">
      <c r="A13" s="1" t="s">
        <v>49</v>
      </c>
      <c r="B13" s="1">
        <v>2025.0</v>
      </c>
      <c r="C13" s="13">
        <f>(RAW_DATA!I13/RAW_DATA!G13)</f>
        <v>0.2113124431</v>
      </c>
      <c r="D13" s="13">
        <f>(RAW_DATA!I13/RAW_DATA!E13)</f>
        <v>0.0330772558</v>
      </c>
      <c r="E13" s="11">
        <f>RAW_DATA!F13/RAW_DATA!G13</f>
        <v>5.388451458</v>
      </c>
      <c r="F13" s="13">
        <f>(RAW_DATA!G13/RAW_DATA!E13)</f>
        <v>0.1565324565</v>
      </c>
      <c r="G13" s="13">
        <f>((RAW_DATA!E13-RAW_DATA!E12)/RAW_DATA!E12)</f>
        <v>0.05008845023</v>
      </c>
      <c r="H13" s="13">
        <f>((RAW_DATA!I13-RAW_DATA!I12)/RAW_DATA!I12)</f>
        <v>0.007407335692</v>
      </c>
    </row>
    <row r="14">
      <c r="A14" s="1" t="s">
        <v>57</v>
      </c>
      <c r="B14" s="1">
        <v>2020.0</v>
      </c>
      <c r="C14" s="13">
        <f>(RAW_DATA!I14/RAW_DATA!G14)</f>
        <v>1.150392968</v>
      </c>
      <c r="D14" s="13">
        <f>(RAW_DATA!I14/RAW_DATA!E14)</f>
        <v>0.1045120988</v>
      </c>
      <c r="E14" s="11">
        <f>RAW_DATA!F14/RAW_DATA!G14</f>
        <v>10.00727075</v>
      </c>
      <c r="F14" s="13">
        <f>(RAW_DATA!G14/RAW_DATA!E14)</f>
        <v>0.09084904176</v>
      </c>
      <c r="G14" s="7" t="s">
        <v>59</v>
      </c>
      <c r="H14" s="7" t="s">
        <v>59</v>
      </c>
    </row>
    <row r="15">
      <c r="A15" s="1" t="s">
        <v>57</v>
      </c>
      <c r="B15" s="1">
        <v>2021.0</v>
      </c>
      <c r="C15" s="13">
        <f>(RAW_DATA!I15/RAW_DATA!G15)</f>
        <v>1.127077036</v>
      </c>
      <c r="D15" s="13">
        <f>(RAW_DATA!I15/RAW_DATA!E15)</f>
        <v>0.132173813</v>
      </c>
      <c r="E15" s="11">
        <f>RAW_DATA!F15/RAW_DATA!G15</f>
        <v>7.527234028</v>
      </c>
      <c r="F15" s="13">
        <f>(RAW_DATA!G15/RAW_DATA!E15)</f>
        <v>0.1172713211</v>
      </c>
      <c r="G15" s="13">
        <f>((RAW_DATA!E15-RAW_DATA!E14)/RAW_DATA!E14)</f>
        <v>0.1507540196</v>
      </c>
      <c r="H15" s="13">
        <f>((RAW_DATA!I15-RAW_DATA!I14)/RAW_DATA!I14)</f>
        <v>0.4553295584</v>
      </c>
    </row>
    <row r="16">
      <c r="A16" s="1" t="s">
        <v>57</v>
      </c>
      <c r="B16" s="1">
        <v>2022.0</v>
      </c>
      <c r="C16" s="13">
        <f>(RAW_DATA!I16/RAW_DATA!G16)</f>
        <v>1.328271286</v>
      </c>
      <c r="D16" s="13">
        <f>(RAW_DATA!I16/RAW_DATA!E16)</f>
        <v>0.1373282103</v>
      </c>
      <c r="E16" s="11">
        <f>RAW_DATA!F16/RAW_DATA!G16</f>
        <v>8.672239108</v>
      </c>
      <c r="F16" s="13">
        <f>(RAW_DATA!G16/RAW_DATA!E16)</f>
        <v>0.1033886765</v>
      </c>
      <c r="G16" s="13">
        <f>((RAW_DATA!E16-RAW_DATA!E15)/RAW_DATA!E15)</f>
        <v>0.123835888</v>
      </c>
      <c r="H16" s="13">
        <f>((RAW_DATA!I16-RAW_DATA!I15)/RAW_DATA!I15)</f>
        <v>0.1676622446</v>
      </c>
    </row>
    <row r="17">
      <c r="A17" s="1" t="s">
        <v>57</v>
      </c>
      <c r="B17" s="1">
        <v>2023.0</v>
      </c>
      <c r="C17" s="13">
        <f>(RAW_DATA!I17/RAW_DATA!G17)</f>
        <v>3.354715503</v>
      </c>
      <c r="D17" s="13">
        <f>(RAW_DATA!I17/RAW_DATA!E17)</f>
        <v>-0.04296877817</v>
      </c>
      <c r="E17" s="11">
        <f>RAW_DATA!F17/RAW_DATA!G17</f>
        <v>-79.07332778</v>
      </c>
      <c r="F17" s="13">
        <f>(RAW_DATA!G17/RAW_DATA!E17)</f>
        <v>-0.01280847158</v>
      </c>
      <c r="G17" s="13">
        <f>((RAW_DATA!E17-RAW_DATA!E16)/RAW_DATA!E16)</f>
        <v>0.2557556621</v>
      </c>
      <c r="H17" s="13">
        <f>((RAW_DATA!I17-RAW_DATA!I16)/RAW_DATA!I16)</f>
        <v>-1.392914802</v>
      </c>
    </row>
    <row r="18">
      <c r="A18" s="1" t="s">
        <v>57</v>
      </c>
      <c r="B18" s="1">
        <v>2024.0</v>
      </c>
      <c r="C18" s="13">
        <f>(RAW_DATA!I18/RAW_DATA!G18)</f>
        <v>0.8742988644</v>
      </c>
      <c r="D18" s="13">
        <f>(RAW_DATA!I18/RAW_DATA!E18)</f>
        <v>-0.09541002113</v>
      </c>
      <c r="E18" s="11">
        <f>RAW_DATA!F18/RAW_DATA!G18</f>
        <v>-10.16359575</v>
      </c>
      <c r="F18" s="13">
        <f>(RAW_DATA!G18/RAW_DATA!E18)</f>
        <v>-0.1091274678</v>
      </c>
      <c r="G18" s="13">
        <f>((RAW_DATA!E18-RAW_DATA!E17)/RAW_DATA!E17)</f>
        <v>0.3161551254</v>
      </c>
      <c r="H18" s="13">
        <f>((RAW_DATA!I18-RAW_DATA!I17)/RAW_DATA!I17)</f>
        <v>1.922456576</v>
      </c>
    </row>
    <row r="19">
      <c r="A19" s="1" t="s">
        <v>57</v>
      </c>
      <c r="B19" s="1">
        <v>2025.0</v>
      </c>
      <c r="C19" s="13">
        <f>(RAW_DATA!I19/RAW_DATA!G19)</f>
        <v>2.028105819</v>
      </c>
      <c r="D19" s="13">
        <f>(RAW_DATA!I19/RAW_DATA!E19)</f>
        <v>0.2059495263</v>
      </c>
      <c r="E19" s="11">
        <f>RAW_DATA!F19/RAW_DATA!G19</f>
        <v>8.847586712</v>
      </c>
      <c r="F19" s="13">
        <f>(RAW_DATA!G19/RAW_DATA!E19)</f>
        <v>0.1015477222</v>
      </c>
      <c r="G19" s="13">
        <f>((RAW_DATA!E19-RAW_DATA!E18)/RAW_DATA!E18)</f>
        <v>0.2874673784</v>
      </c>
      <c r="H19" s="13">
        <f>((RAW_DATA!I19-RAW_DATA!I18)/RAW_DATA!I18)</f>
        <v>-3.779092737</v>
      </c>
    </row>
    <row r="20">
      <c r="A20" s="1" t="s">
        <v>65</v>
      </c>
      <c r="B20" s="1">
        <v>2020.0</v>
      </c>
      <c r="C20" s="7" t="s">
        <v>59</v>
      </c>
      <c r="D20" s="7" t="s">
        <v>59</v>
      </c>
      <c r="E20" s="7" t="s">
        <v>59</v>
      </c>
      <c r="F20" s="7" t="s">
        <v>59</v>
      </c>
      <c r="G20" s="7" t="s">
        <v>59</v>
      </c>
      <c r="H20" s="7" t="s">
        <v>59</v>
      </c>
    </row>
    <row r="21">
      <c r="A21" s="1" t="s">
        <v>65</v>
      </c>
      <c r="B21" s="1">
        <v>2021.0</v>
      </c>
      <c r="C21" s="13">
        <f>(RAW_DATA!I21/RAW_DATA!G21)</f>
        <v>0.6487280283</v>
      </c>
      <c r="D21" s="13">
        <f>(RAW_DATA!I21/RAW_DATA!E21)</f>
        <v>0.1374045925</v>
      </c>
      <c r="E21" s="11">
        <f>RAW_DATA!F21/RAW_DATA!G21</f>
        <v>3.721298005</v>
      </c>
      <c r="F21" s="13">
        <f>(RAW_DATA!G21/RAW_DATA!E21)</f>
        <v>0.2118061599</v>
      </c>
      <c r="G21" s="7" t="s">
        <v>59</v>
      </c>
      <c r="H21" s="7" t="s">
        <v>59</v>
      </c>
    </row>
    <row r="22">
      <c r="A22" s="1" t="s">
        <v>65</v>
      </c>
      <c r="B22" s="1">
        <v>2022.0</v>
      </c>
      <c r="C22" s="13">
        <f>(RAW_DATA!I22/RAW_DATA!G22)</f>
        <v>0.3815049312</v>
      </c>
      <c r="D22" s="13">
        <f>(RAW_DATA!I22/RAW_DATA!E22)</f>
        <v>0.09845492443</v>
      </c>
      <c r="E22" s="11">
        <f>RAW_DATA!F22/RAW_DATA!G22</f>
        <v>2.87491975</v>
      </c>
      <c r="F22" s="13">
        <f>(RAW_DATA!G22/RAW_DATA!E22)</f>
        <v>0.2580698607</v>
      </c>
      <c r="G22" s="13">
        <f>((RAW_DATA!E22-RAW_DATA!E21)/RAW_DATA!E21)</f>
        <v>-0.05858104009</v>
      </c>
      <c r="H22" s="13">
        <f>((RAW_DATA!I22-RAW_DATA!I21)/RAW_DATA!I21)</f>
        <v>-0.3254422513</v>
      </c>
    </row>
    <row r="23">
      <c r="A23" s="1" t="s">
        <v>65</v>
      </c>
      <c r="B23" s="1">
        <v>2023.0</v>
      </c>
      <c r="C23" s="13">
        <f>(RAW_DATA!I23/RAW_DATA!G23)</f>
        <v>0.5748701701</v>
      </c>
      <c r="D23" s="13">
        <f>(RAW_DATA!I23/RAW_DATA!E23)</f>
        <v>0.1929862109</v>
      </c>
      <c r="E23" s="11">
        <f>RAW_DATA!F23/RAW_DATA!G23</f>
        <v>1.978814742</v>
      </c>
      <c r="F23" s="13">
        <f>(RAW_DATA!G23/RAW_DATA!E23)</f>
        <v>0.3357039918</v>
      </c>
      <c r="G23" s="13">
        <f>((RAW_DATA!E23-RAW_DATA!E22)/RAW_DATA!E22)</f>
        <v>0.2863855487</v>
      </c>
      <c r="H23" s="13">
        <f>((RAW_DATA!I23-RAW_DATA!I22)/RAW_DATA!I22)</f>
        <v>1.521505899</v>
      </c>
    </row>
    <row r="24">
      <c r="A24" s="1" t="s">
        <v>65</v>
      </c>
      <c r="B24" s="1">
        <v>2024.0</v>
      </c>
      <c r="C24" s="13">
        <f>(RAW_DATA!I24/RAW_DATA!G24)</f>
        <v>0.3683653336</v>
      </c>
      <c r="D24" s="13">
        <f>(RAW_DATA!I24/RAW_DATA!E24)</f>
        <v>0.1637417597</v>
      </c>
      <c r="E24" s="11">
        <f>RAW_DATA!F24/RAW_DATA!G24</f>
        <v>1.249672499</v>
      </c>
      <c r="F24" s="13">
        <f>(RAW_DATA!G24/RAW_DATA!E24)</f>
        <v>0.4445091455</v>
      </c>
      <c r="G24" s="13">
        <f>((RAW_DATA!E24-RAW_DATA!E23)/RAW_DATA!E23)</f>
        <v>1.790118421</v>
      </c>
      <c r="H24" s="13">
        <f>((RAW_DATA!I24-RAW_DATA!I23)/RAW_DATA!I23)</f>
        <v>1.367313695</v>
      </c>
    </row>
    <row r="25">
      <c r="A25" s="1" t="s">
        <v>65</v>
      </c>
      <c r="B25" s="1">
        <v>2025.0</v>
      </c>
      <c r="C25" s="13">
        <f>(RAW_DATA!I25/RAW_DATA!G25)</f>
        <v>0.2740920132</v>
      </c>
      <c r="D25" s="13">
        <f>(RAW_DATA!I25/RAW_DATA!E25)</f>
        <v>0.1310507308</v>
      </c>
      <c r="E25" s="11">
        <f>RAW_DATA!F25/RAW_DATA!G25</f>
        <v>1.091495496</v>
      </c>
      <c r="F25" s="13">
        <f>(RAW_DATA!G25/RAW_DATA!E25)</f>
        <v>0.4781267768</v>
      </c>
      <c r="G25" s="13">
        <f>((RAW_DATA!E25-RAW_DATA!E24)/RAW_DATA!E24)</f>
        <v>0.9490968217</v>
      </c>
      <c r="H25" s="13">
        <f>((RAW_DATA!I25-RAW_DATA!I24)/RAW_DATA!I24)</f>
        <v>0.5599598016</v>
      </c>
    </row>
    <row r="26">
      <c r="A26" s="1" t="s">
        <v>75</v>
      </c>
      <c r="B26" s="1">
        <v>2020.0</v>
      </c>
      <c r="C26" s="13">
        <f>(RAW_DATA!I26/RAW_DATA!G26)</f>
        <v>0.3098510612</v>
      </c>
      <c r="D26" s="13">
        <f>(RAW_DATA!I26/RAW_DATA!E26)</f>
        <v>0.1365017002</v>
      </c>
      <c r="E26" s="11">
        <f>RAW_DATA!F26/RAW_DATA!G26</f>
        <v>1.269942871</v>
      </c>
      <c r="F26" s="13">
        <f>(RAW_DATA!G26/RAW_DATA!E26)</f>
        <v>0.4405397214</v>
      </c>
      <c r="G26" s="7" t="s">
        <v>59</v>
      </c>
      <c r="H26" s="7" t="s">
        <v>59</v>
      </c>
    </row>
    <row r="27">
      <c r="A27" s="1" t="s">
        <v>75</v>
      </c>
      <c r="B27" s="1">
        <v>2021.0</v>
      </c>
      <c r="C27" s="13">
        <f>(RAW_DATA!I27/RAW_DATA!G27)</f>
        <v>0.3704894634</v>
      </c>
      <c r="D27" s="13">
        <f>(RAW_DATA!I27/RAW_DATA!E27)</f>
        <v>0.1523562313</v>
      </c>
      <c r="E27" s="11">
        <f>RAW_DATA!F27/RAW_DATA!G27</f>
        <v>1.431731609</v>
      </c>
      <c r="F27" s="13">
        <f>(RAW_DATA!G27/RAW_DATA!E27)</f>
        <v>0.4112295931</v>
      </c>
      <c r="G27" s="13">
        <f>((RAW_DATA!E27-RAW_DATA!E26)/RAW_DATA!E26)</f>
        <v>0.1827327337</v>
      </c>
      <c r="H27" s="13">
        <f>((RAW_DATA!I27-RAW_DATA!I26)/RAW_DATA!I26)</f>
        <v>0.3201059159</v>
      </c>
    </row>
    <row r="28">
      <c r="A28" s="1" t="s">
        <v>75</v>
      </c>
      <c r="B28" s="1">
        <v>2022.0</v>
      </c>
      <c r="C28" s="13">
        <f>(RAW_DATA!I28/RAW_DATA!G28)</f>
        <v>0.3543371454</v>
      </c>
      <c r="D28" s="13">
        <f>(RAW_DATA!I28/RAW_DATA!E28)</f>
        <v>0.1461626247</v>
      </c>
      <c r="E28" s="11">
        <f>RAW_DATA!F28/RAW_DATA!G28</f>
        <v>1.424266438</v>
      </c>
      <c r="F28" s="13">
        <f>(RAW_DATA!G28/RAW_DATA!E28)</f>
        <v>0.412495914</v>
      </c>
      <c r="G28" s="13">
        <f>((RAW_DATA!E28-RAW_DATA!E27)/RAW_DATA!E27)</f>
        <v>0.09349256841</v>
      </c>
      <c r="H28" s="13">
        <f>((RAW_DATA!I28-RAW_DATA!I27)/RAW_DATA!I27)</f>
        <v>0.049039757</v>
      </c>
    </row>
    <row r="29">
      <c r="A29" s="1" t="s">
        <v>75</v>
      </c>
      <c r="B29" s="1">
        <v>2023.0</v>
      </c>
      <c r="C29" s="13">
        <f>(RAW_DATA!I29/RAW_DATA!G29)</f>
        <v>0.2639775414</v>
      </c>
      <c r="D29" s="13">
        <f>(RAW_DATA!I29/RAW_DATA!E29)</f>
        <v>0.1156676336</v>
      </c>
      <c r="E29" s="11">
        <f>RAW_DATA!F29/RAW_DATA!G29</f>
        <v>1.282207505</v>
      </c>
      <c r="F29" s="13">
        <f>(RAW_DATA!G29/RAW_DATA!E29)</f>
        <v>0.4381722512</v>
      </c>
      <c r="G29" s="13">
        <f>((RAW_DATA!E29-RAW_DATA!E28)/RAW_DATA!E28)</f>
        <v>0.5058274123</v>
      </c>
      <c r="H29" s="13">
        <f>((RAW_DATA!I29-RAW_DATA!I28)/RAW_DATA!I28)</f>
        <v>0.1916554847</v>
      </c>
    </row>
    <row r="30">
      <c r="A30" s="1" t="s">
        <v>75</v>
      </c>
      <c r="B30" s="1">
        <v>2024.0</v>
      </c>
      <c r="C30" s="13">
        <f>(RAW_DATA!I30/RAW_DATA!G30)</f>
        <v>0.2313518707</v>
      </c>
      <c r="D30" s="13">
        <f>(RAW_DATA!I30/RAW_DATA!E30)</f>
        <v>0.07859258082</v>
      </c>
      <c r="E30" s="11">
        <f>RAW_DATA!F30/RAW_DATA!G30</f>
        <v>1.943685884</v>
      </c>
      <c r="F30" s="13">
        <f>(RAW_DATA!G30/RAW_DATA!E30)</f>
        <v>0.3397101591</v>
      </c>
      <c r="G30" s="13">
        <f>((RAW_DATA!E30-RAW_DATA!E29)/RAW_DATA!E29)</f>
        <v>0.6257133971</v>
      </c>
      <c r="H30" s="13">
        <f>((RAW_DATA!I30-RAW_DATA!I29)/RAW_DATA!I29)</f>
        <v>0.1046219898</v>
      </c>
    </row>
    <row r="31">
      <c r="A31" s="1" t="s">
        <v>75</v>
      </c>
      <c r="B31" s="1">
        <v>2025.0</v>
      </c>
      <c r="C31" s="13">
        <f>(RAW_DATA!I31/RAW_DATA!G31)</f>
        <v>0.3873543205</v>
      </c>
      <c r="D31" s="13">
        <f>(RAW_DATA!I31/RAW_DATA!E31)</f>
        <v>0.1680130554</v>
      </c>
      <c r="E31" s="11">
        <f>RAW_DATA!F31/RAW_DATA!G31</f>
        <v>1.305501317</v>
      </c>
      <c r="F31" s="13">
        <f>(RAW_DATA!G31/RAW_DATA!E31)</f>
        <v>0.4337451436</v>
      </c>
      <c r="G31" s="13">
        <f>((RAW_DATA!E31-RAW_DATA!E30)/RAW_DATA!E30)</f>
        <v>-0.05661370076</v>
      </c>
      <c r="H31" s="13">
        <f>((RAW_DATA!I31-RAW_DATA!I30)/RAW_DATA!I30)</f>
        <v>1.016745256</v>
      </c>
    </row>
    <row r="32">
      <c r="A32" s="1" t="s">
        <v>119</v>
      </c>
      <c r="B32" s="1">
        <v>2020.0</v>
      </c>
      <c r="C32" s="13">
        <f>(RAW_DATA!I32/RAW_DATA!G32)</f>
        <v>-0.04856903835</v>
      </c>
      <c r="D32" s="13">
        <f>(RAW_DATA!I32/RAW_DATA!E32)</f>
        <v>-0.02342930509</v>
      </c>
      <c r="E32" s="11">
        <f>RAW_DATA!F32/RAW_DATA!G32</f>
        <v>1.073003794</v>
      </c>
      <c r="F32" s="13">
        <f>(RAW_DATA!G32/RAW_DATA!E32)</f>
        <v>0.4823917848</v>
      </c>
      <c r="G32" s="7" t="s">
        <v>59</v>
      </c>
      <c r="H32" s="7" t="s">
        <v>59</v>
      </c>
    </row>
    <row r="33">
      <c r="A33" s="1" t="s">
        <v>119</v>
      </c>
      <c r="B33" s="1">
        <v>2021.0</v>
      </c>
      <c r="C33" s="13">
        <f>(RAW_DATA!I33/RAW_DATA!G33)</f>
        <v>0.06672363101</v>
      </c>
      <c r="D33" s="13">
        <f>(RAW_DATA!I33/RAW_DATA!E33)</f>
        <v>0.0292671945</v>
      </c>
      <c r="E33" s="11">
        <f>RAW_DATA!F33/RAW_DATA!G33</f>
        <v>1.279809601</v>
      </c>
      <c r="F33" s="13">
        <f>(RAW_DATA!G33/RAW_DATA!E33)</f>
        <v>0.4386331208</v>
      </c>
      <c r="G33" s="13">
        <f>((RAW_DATA!E33-RAW_DATA!E32)/RAW_DATA!E32)</f>
        <v>0.2232916831</v>
      </c>
      <c r="H33" s="13">
        <f>((RAW_DATA!I33-RAW_DATA!I32)/RAW_DATA!I32)</f>
        <v>-2.528099766</v>
      </c>
    </row>
    <row r="34">
      <c r="A34" s="1" t="s">
        <v>119</v>
      </c>
      <c r="B34" s="1">
        <v>2022.0</v>
      </c>
      <c r="C34" s="13">
        <f>(RAW_DATA!I34/RAW_DATA!G34)</f>
        <v>0.05646630931</v>
      </c>
      <c r="D34" s="13">
        <f>(RAW_DATA!I34/RAW_DATA!E34)</f>
        <v>0.02982120565</v>
      </c>
      <c r="E34" s="11">
        <f>RAW_DATA!F34/RAW_DATA!G34</f>
        <v>0.8934951849</v>
      </c>
      <c r="F34" s="13">
        <f>(RAW_DATA!G34/RAW_DATA!E34)</f>
        <v>0.5281238674</v>
      </c>
      <c r="G34" s="13">
        <f>((RAW_DATA!E34-RAW_DATA!E33)/RAW_DATA!E33)</f>
        <v>-0.07081599665</v>
      </c>
      <c r="H34" s="13">
        <f>((RAW_DATA!I34-RAW_DATA!I33)/RAW_DATA!I33)</f>
        <v>-0.05322707805</v>
      </c>
    </row>
    <row r="35">
      <c r="A35" s="1" t="s">
        <v>119</v>
      </c>
      <c r="B35" s="1">
        <v>2023.0</v>
      </c>
      <c r="C35" s="13">
        <f>(RAW_DATA!I35/RAW_DATA!G35)</f>
        <v>0.05043298701</v>
      </c>
      <c r="D35" s="13">
        <f>(RAW_DATA!I35/RAW_DATA!E35)</f>
        <v>0.02663541026</v>
      </c>
      <c r="E35" s="11">
        <f>RAW_DATA!F35/RAW_DATA!G35</f>
        <v>0.8934563618</v>
      </c>
      <c r="F35" s="13">
        <f>(RAW_DATA!G35/RAW_DATA!E35)</f>
        <v>0.528134696</v>
      </c>
      <c r="G35" s="13">
        <f>((RAW_DATA!E35-RAW_DATA!E34)/RAW_DATA!E34)</f>
        <v>1.049325494</v>
      </c>
      <c r="H35" s="13">
        <f>((RAW_DATA!I35-RAW_DATA!I34)/RAW_DATA!I34)</f>
        <v>0.8303963271</v>
      </c>
    </row>
    <row r="36">
      <c r="A36" s="1" t="s">
        <v>119</v>
      </c>
      <c r="B36" s="1">
        <v>2024.0</v>
      </c>
      <c r="C36" s="13">
        <f>(RAW_DATA!I36/RAW_DATA!G36)</f>
        <v>0.07365069624</v>
      </c>
      <c r="D36" s="13">
        <f>(RAW_DATA!I36/RAW_DATA!E36)</f>
        <v>0.01982954163</v>
      </c>
      <c r="E36" s="11">
        <f>RAW_DATA!F36/RAW_DATA!G36</f>
        <v>2.714190556</v>
      </c>
      <c r="F36" s="13">
        <f>(RAW_DATA!G36/RAW_DATA!E36)</f>
        <v>0.269237667</v>
      </c>
      <c r="G36" s="13">
        <f>((RAW_DATA!E36-RAW_DATA!E35)/RAW_DATA!E35)</f>
        <v>2.433093801</v>
      </c>
      <c r="H36" s="13">
        <f>((RAW_DATA!I36-RAW_DATA!I35)/RAW_DATA!I35)</f>
        <v>1.555871142</v>
      </c>
    </row>
    <row r="37">
      <c r="A37" s="1" t="s">
        <v>119</v>
      </c>
      <c r="B37" s="1">
        <v>2025.0</v>
      </c>
      <c r="C37" s="13">
        <f>(RAW_DATA!I37/RAW_DATA!G37)</f>
        <v>0.09139554697</v>
      </c>
      <c r="D37" s="13">
        <f>(RAW_DATA!I37/RAW_DATA!E37)</f>
        <v>0.02767435629</v>
      </c>
      <c r="E37" s="11">
        <f>RAW_DATA!F37/RAW_DATA!G37</f>
        <v>2.302535604</v>
      </c>
      <c r="F37" s="13">
        <f>(RAW_DATA!G37/RAW_DATA!E37)</f>
        <v>0.302797644</v>
      </c>
      <c r="G37" s="13">
        <f>((RAW_DATA!E37-RAW_DATA!E36)/RAW_DATA!E36)</f>
        <v>-0.1672658072</v>
      </c>
      <c r="H37" s="13">
        <f>((RAW_DATA!I37-RAW_DATA!I36)/RAW_DATA!I36)</f>
        <v>0.162174254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9.25"/>
    <col customWidth="1" min="3" max="3" width="33.38"/>
    <col customWidth="1" min="4" max="4" width="18.88"/>
    <col customWidth="1" min="5" max="26" width="9.25"/>
  </cols>
  <sheetData>
    <row r="1">
      <c r="A1" s="1" t="s">
        <v>26</v>
      </c>
      <c r="B1" s="1" t="s">
        <v>29</v>
      </c>
      <c r="C1" s="2" t="s">
        <v>134</v>
      </c>
      <c r="D1" s="1" t="s">
        <v>135</v>
      </c>
    </row>
    <row r="2">
      <c r="A2" s="1" t="s">
        <v>42</v>
      </c>
      <c r="B2" s="1">
        <v>2021.0</v>
      </c>
      <c r="C2" s="2" t="s">
        <v>136</v>
      </c>
      <c r="D2" s="1" t="s">
        <v>137</v>
      </c>
    </row>
    <row r="3">
      <c r="C3" s="3"/>
    </row>
    <row r="4">
      <c r="C4" s="3"/>
    </row>
    <row r="5">
      <c r="C5" s="3"/>
    </row>
    <row r="6">
      <c r="C6" s="3"/>
    </row>
    <row r="7">
      <c r="C7" s="3"/>
    </row>
    <row r="8">
      <c r="C8" s="3"/>
    </row>
    <row r="9">
      <c r="C9" s="3"/>
    </row>
    <row r="10">
      <c r="C10" s="3"/>
    </row>
    <row r="11">
      <c r="C11" s="3"/>
    </row>
    <row r="12">
      <c r="C12" s="3"/>
    </row>
    <row r="13">
      <c r="C13" s="3"/>
    </row>
    <row r="14">
      <c r="C14" s="3"/>
    </row>
    <row r="15">
      <c r="C15" s="3"/>
    </row>
    <row r="16">
      <c r="C16" s="3"/>
    </row>
    <row r="17">
      <c r="C17" s="3"/>
    </row>
    <row r="18">
      <c r="C18" s="3"/>
    </row>
    <row r="19">
      <c r="C19" s="3"/>
    </row>
    <row r="20">
      <c r="C20" s="3"/>
    </row>
    <row r="21">
      <c r="C21" s="3"/>
    </row>
    <row r="22">
      <c r="C22" s="3"/>
    </row>
    <row r="23">
      <c r="C23" s="3"/>
    </row>
    <row r="24">
      <c r="C24" s="3"/>
    </row>
    <row r="25">
      <c r="C25" s="3"/>
    </row>
    <row r="26">
      <c r="C26" s="3"/>
    </row>
    <row r="27">
      <c r="C27" s="3"/>
    </row>
    <row r="28">
      <c r="C28" s="3"/>
    </row>
    <row r="29">
      <c r="C29" s="3"/>
    </row>
    <row r="30">
      <c r="C30" s="3"/>
    </row>
    <row r="31">
      <c r="C31" s="3"/>
    </row>
    <row r="32">
      <c r="C32" s="3"/>
    </row>
    <row r="33">
      <c r="C33" s="3"/>
    </row>
    <row r="34">
      <c r="C34" s="3"/>
    </row>
    <row r="35">
      <c r="C35" s="3"/>
    </row>
    <row r="36">
      <c r="C36" s="3"/>
    </row>
    <row r="37">
      <c r="C37" s="3"/>
    </row>
    <row r="38">
      <c r="C38" s="3"/>
    </row>
    <row r="39">
      <c r="C39" s="3"/>
    </row>
    <row r="40">
      <c r="C40" s="3"/>
    </row>
    <row r="41">
      <c r="C41" s="3"/>
    </row>
    <row r="42">
      <c r="C42" s="3"/>
    </row>
    <row r="43">
      <c r="C43" s="3"/>
    </row>
    <row r="44">
      <c r="C44" s="3"/>
    </row>
    <row r="45">
      <c r="C45" s="3"/>
    </row>
    <row r="46">
      <c r="C46" s="3"/>
    </row>
    <row r="47">
      <c r="C47" s="3"/>
    </row>
    <row r="48">
      <c r="C48" s="3"/>
    </row>
    <row r="49">
      <c r="C49" s="3"/>
    </row>
    <row r="50">
      <c r="C50" s="3"/>
    </row>
    <row r="51">
      <c r="C51" s="3"/>
    </row>
    <row r="52">
      <c r="C52" s="3"/>
    </row>
    <row r="53">
      <c r="C53" s="3"/>
    </row>
    <row r="54">
      <c r="C54" s="3"/>
    </row>
    <row r="55">
      <c r="C55" s="3"/>
    </row>
    <row r="56">
      <c r="C56" s="3"/>
    </row>
    <row r="57">
      <c r="C57" s="3"/>
    </row>
    <row r="58">
      <c r="C58" s="3"/>
    </row>
    <row r="59">
      <c r="C59" s="3"/>
    </row>
    <row r="60">
      <c r="C60" s="3"/>
    </row>
    <row r="61">
      <c r="C61" s="3"/>
    </row>
    <row r="62">
      <c r="C62" s="3"/>
    </row>
    <row r="63">
      <c r="C63" s="3"/>
    </row>
    <row r="64">
      <c r="C64" s="3"/>
    </row>
    <row r="65">
      <c r="C65" s="3"/>
    </row>
    <row r="66">
      <c r="C66" s="3"/>
    </row>
    <row r="67">
      <c r="C67" s="3"/>
    </row>
    <row r="68">
      <c r="C68" s="3"/>
    </row>
    <row r="69">
      <c r="C69" s="3"/>
    </row>
    <row r="70">
      <c r="C70" s="3"/>
    </row>
    <row r="71">
      <c r="C71" s="3"/>
    </row>
    <row r="72">
      <c r="C72" s="3"/>
    </row>
    <row r="73">
      <c r="C73" s="3"/>
    </row>
    <row r="74">
      <c r="C74" s="3"/>
    </row>
    <row r="75">
      <c r="C75" s="3"/>
    </row>
    <row r="76">
      <c r="C76" s="3"/>
    </row>
    <row r="77">
      <c r="C77" s="3"/>
    </row>
    <row r="78">
      <c r="C78" s="3"/>
    </row>
    <row r="79">
      <c r="C79" s="3"/>
    </row>
    <row r="80">
      <c r="C80" s="3"/>
    </row>
    <row r="81">
      <c r="C81" s="3"/>
    </row>
    <row r="82">
      <c r="C82" s="3"/>
    </row>
    <row r="83">
      <c r="C83" s="3"/>
    </row>
    <row r="84">
      <c r="C84" s="3"/>
    </row>
    <row r="85">
      <c r="C85" s="3"/>
    </row>
    <row r="86">
      <c r="C86" s="3"/>
    </row>
    <row r="87">
      <c r="C87" s="3"/>
    </row>
    <row r="88">
      <c r="C88" s="3"/>
    </row>
    <row r="89">
      <c r="C89" s="3"/>
    </row>
    <row r="90">
      <c r="C90" s="3"/>
    </row>
    <row r="91">
      <c r="C91" s="3"/>
    </row>
    <row r="92">
      <c r="C92" s="3"/>
    </row>
    <row r="93">
      <c r="C93" s="3"/>
    </row>
    <row r="94">
      <c r="C94" s="3"/>
    </row>
    <row r="95">
      <c r="C95" s="3"/>
    </row>
    <row r="96">
      <c r="C96" s="3"/>
    </row>
    <row r="97">
      <c r="C97" s="3"/>
    </row>
    <row r="98">
      <c r="C98" s="3"/>
    </row>
    <row r="99">
      <c r="C99" s="3"/>
    </row>
    <row r="100">
      <c r="C100" s="3"/>
    </row>
    <row r="101">
      <c r="C101" s="3"/>
    </row>
    <row r="102">
      <c r="C102" s="3"/>
    </row>
    <row r="103">
      <c r="C103" s="3"/>
    </row>
    <row r="104">
      <c r="C104" s="3"/>
    </row>
    <row r="105">
      <c r="C105" s="3"/>
    </row>
    <row r="106">
      <c r="C106" s="3"/>
    </row>
    <row r="107">
      <c r="C107" s="3"/>
    </row>
    <row r="108">
      <c r="C108" s="3"/>
    </row>
    <row r="109">
      <c r="C109" s="3"/>
    </row>
    <row r="110">
      <c r="C110" s="3"/>
    </row>
    <row r="111">
      <c r="C111" s="3"/>
    </row>
    <row r="112">
      <c r="C112" s="3"/>
    </row>
    <row r="113">
      <c r="C113" s="3"/>
    </row>
    <row r="114">
      <c r="C114" s="3"/>
    </row>
    <row r="115">
      <c r="C115" s="3"/>
    </row>
    <row r="116">
      <c r="C116" s="3"/>
    </row>
    <row r="117">
      <c r="C117" s="3"/>
    </row>
    <row r="118">
      <c r="C118" s="3"/>
    </row>
    <row r="119">
      <c r="C119" s="3"/>
    </row>
    <row r="120">
      <c r="C120" s="3"/>
    </row>
    <row r="121">
      <c r="C121" s="3"/>
    </row>
    <row r="122">
      <c r="C122" s="3"/>
    </row>
    <row r="123">
      <c r="C123" s="3"/>
    </row>
    <row r="124">
      <c r="C124" s="3"/>
    </row>
    <row r="125">
      <c r="C125" s="3"/>
    </row>
    <row r="126">
      <c r="C126" s="3"/>
    </row>
    <row r="127">
      <c r="C127" s="3"/>
    </row>
    <row r="128">
      <c r="C128" s="3"/>
    </row>
    <row r="129">
      <c r="C129" s="3"/>
    </row>
    <row r="130">
      <c r="C130" s="3"/>
    </row>
    <row r="131">
      <c r="C131" s="3"/>
    </row>
    <row r="132">
      <c r="C132" s="3"/>
    </row>
    <row r="133">
      <c r="C133" s="3"/>
    </row>
    <row r="134">
      <c r="C134" s="3"/>
    </row>
    <row r="135">
      <c r="C135" s="3"/>
    </row>
    <row r="136">
      <c r="C136" s="3"/>
    </row>
    <row r="137">
      <c r="C137" s="3"/>
    </row>
    <row r="138">
      <c r="C138" s="3"/>
    </row>
    <row r="139">
      <c r="C139" s="3"/>
    </row>
    <row r="140">
      <c r="C140" s="3"/>
    </row>
    <row r="141">
      <c r="C141" s="3"/>
    </row>
    <row r="142">
      <c r="C142" s="3"/>
    </row>
    <row r="143">
      <c r="C143" s="3"/>
    </row>
    <row r="144">
      <c r="C144" s="3"/>
    </row>
    <row r="145">
      <c r="C145" s="3"/>
    </row>
    <row r="146">
      <c r="C146" s="3"/>
    </row>
    <row r="147">
      <c r="C147" s="3"/>
    </row>
    <row r="148">
      <c r="C148" s="3"/>
    </row>
    <row r="149">
      <c r="C149" s="3"/>
    </row>
    <row r="150">
      <c r="C150" s="3"/>
    </row>
    <row r="151">
      <c r="C151" s="3"/>
    </row>
    <row r="152">
      <c r="C152" s="3"/>
    </row>
    <row r="153">
      <c r="C153" s="3"/>
    </row>
    <row r="154">
      <c r="C154" s="3"/>
    </row>
    <row r="155">
      <c r="C155" s="3"/>
    </row>
    <row r="156">
      <c r="C156" s="3"/>
    </row>
    <row r="157">
      <c r="C157" s="3"/>
    </row>
    <row r="158">
      <c r="C158" s="3"/>
    </row>
    <row r="159">
      <c r="C159" s="3"/>
    </row>
    <row r="160">
      <c r="C160" s="3"/>
    </row>
    <row r="161">
      <c r="C161" s="3"/>
    </row>
    <row r="162">
      <c r="C162" s="3"/>
    </row>
    <row r="163">
      <c r="C163" s="3"/>
    </row>
    <row r="164">
      <c r="C164" s="3"/>
    </row>
    <row r="165">
      <c r="C165" s="3"/>
    </row>
    <row r="166">
      <c r="C166" s="3"/>
    </row>
    <row r="167">
      <c r="C167" s="3"/>
    </row>
    <row r="168">
      <c r="C168" s="3"/>
    </row>
    <row r="169">
      <c r="C169" s="3"/>
    </row>
    <row r="170">
      <c r="C170" s="3"/>
    </row>
    <row r="171">
      <c r="C171" s="3"/>
    </row>
    <row r="172">
      <c r="C172" s="3"/>
    </row>
    <row r="173">
      <c r="C173" s="3"/>
    </row>
    <row r="174">
      <c r="C174" s="3"/>
    </row>
    <row r="175">
      <c r="C175" s="3"/>
    </row>
    <row r="176">
      <c r="C176" s="3"/>
    </row>
    <row r="177">
      <c r="C177" s="3"/>
    </row>
    <row r="178">
      <c r="C178" s="3"/>
    </row>
    <row r="179">
      <c r="C179" s="3"/>
    </row>
    <row r="180">
      <c r="C180" s="3"/>
    </row>
    <row r="181">
      <c r="C181" s="3"/>
    </row>
    <row r="182">
      <c r="C182" s="3"/>
    </row>
    <row r="183">
      <c r="C183" s="3"/>
    </row>
    <row r="184">
      <c r="C184" s="3"/>
    </row>
    <row r="185">
      <c r="C185" s="3"/>
    </row>
    <row r="186">
      <c r="C186" s="3"/>
    </row>
    <row r="187">
      <c r="C187" s="3"/>
    </row>
    <row r="188">
      <c r="C188" s="3"/>
    </row>
    <row r="189">
      <c r="C189" s="3"/>
    </row>
    <row r="190">
      <c r="C190" s="3"/>
    </row>
    <row r="191">
      <c r="C191" s="3"/>
    </row>
    <row r="192">
      <c r="C192" s="3"/>
    </row>
    <row r="193">
      <c r="C193" s="3"/>
    </row>
    <row r="194">
      <c r="C194" s="3"/>
    </row>
    <row r="195">
      <c r="C195" s="3"/>
    </row>
    <row r="196">
      <c r="C196" s="3"/>
    </row>
    <row r="197">
      <c r="C197" s="3"/>
    </row>
    <row r="198">
      <c r="C198" s="3"/>
    </row>
    <row r="199">
      <c r="C199" s="3"/>
    </row>
    <row r="200">
      <c r="C200" s="3"/>
    </row>
    <row r="201">
      <c r="C201" s="3"/>
    </row>
    <row r="202">
      <c r="C202" s="3"/>
    </row>
    <row r="203">
      <c r="C203" s="3"/>
    </row>
    <row r="204">
      <c r="C204" s="3"/>
    </row>
    <row r="205">
      <c r="C205" s="3"/>
    </row>
    <row r="206">
      <c r="C206" s="3"/>
    </row>
    <row r="207">
      <c r="C207" s="3"/>
    </row>
    <row r="208">
      <c r="C208" s="3"/>
    </row>
    <row r="209">
      <c r="C209" s="3"/>
    </row>
    <row r="210">
      <c r="C210" s="3"/>
    </row>
    <row r="211">
      <c r="C211" s="3"/>
    </row>
    <row r="212">
      <c r="C212" s="3"/>
    </row>
    <row r="213">
      <c r="C213" s="3"/>
    </row>
    <row r="214">
      <c r="C214" s="3"/>
    </row>
    <row r="215">
      <c r="C215" s="3"/>
    </row>
    <row r="216">
      <c r="C216" s="3"/>
    </row>
    <row r="217">
      <c r="C217" s="3"/>
    </row>
    <row r="218">
      <c r="C218" s="3"/>
    </row>
    <row r="219">
      <c r="C219" s="3"/>
    </row>
    <row r="220">
      <c r="C220" s="3"/>
    </row>
    <row r="221">
      <c r="C221" s="3"/>
    </row>
    <row r="222">
      <c r="C222" s="3"/>
    </row>
    <row r="223">
      <c r="C223" s="3"/>
    </row>
    <row r="224">
      <c r="C224" s="3"/>
    </row>
    <row r="225">
      <c r="C225" s="3"/>
    </row>
    <row r="226">
      <c r="C226" s="3"/>
    </row>
    <row r="227">
      <c r="C227" s="3"/>
    </row>
    <row r="228">
      <c r="C228" s="3"/>
    </row>
    <row r="229">
      <c r="C229" s="3"/>
    </row>
    <row r="230">
      <c r="C230" s="3"/>
    </row>
    <row r="231">
      <c r="C231" s="3"/>
    </row>
    <row r="232">
      <c r="C232" s="3"/>
    </row>
    <row r="233">
      <c r="C233" s="3"/>
    </row>
    <row r="234">
      <c r="C234" s="3"/>
    </row>
    <row r="235">
      <c r="C235" s="3"/>
    </row>
    <row r="236">
      <c r="C236" s="3"/>
    </row>
    <row r="237">
      <c r="C237" s="3"/>
    </row>
    <row r="238">
      <c r="C238" s="3"/>
    </row>
    <row r="239">
      <c r="C239" s="3"/>
    </row>
    <row r="240">
      <c r="C240" s="3"/>
    </row>
    <row r="241">
      <c r="C241" s="3"/>
    </row>
    <row r="242">
      <c r="C242" s="3"/>
    </row>
    <row r="243">
      <c r="C243" s="3"/>
    </row>
    <row r="244">
      <c r="C244" s="3"/>
    </row>
    <row r="245">
      <c r="C245" s="3"/>
    </row>
    <row r="246">
      <c r="C246" s="3"/>
    </row>
    <row r="247">
      <c r="C247" s="3"/>
    </row>
    <row r="248">
      <c r="C248" s="3"/>
    </row>
    <row r="249">
      <c r="C249" s="3"/>
    </row>
    <row r="250">
      <c r="C250" s="3"/>
    </row>
    <row r="251">
      <c r="C251" s="3"/>
    </row>
    <row r="252">
      <c r="C252" s="3"/>
    </row>
    <row r="253">
      <c r="C253" s="3"/>
    </row>
    <row r="254">
      <c r="C254" s="3"/>
    </row>
    <row r="255">
      <c r="C255" s="3"/>
    </row>
    <row r="256">
      <c r="C256" s="3"/>
    </row>
    <row r="257">
      <c r="C257" s="3"/>
    </row>
    <row r="258">
      <c r="C258" s="3"/>
    </row>
    <row r="259">
      <c r="C259" s="3"/>
    </row>
    <row r="260">
      <c r="C260" s="3"/>
    </row>
    <row r="261">
      <c r="C261" s="3"/>
    </row>
    <row r="262">
      <c r="C262" s="3"/>
    </row>
    <row r="263">
      <c r="C263" s="3"/>
    </row>
    <row r="264">
      <c r="C264" s="3"/>
    </row>
    <row r="265">
      <c r="C265" s="3"/>
    </row>
    <row r="266">
      <c r="C266" s="3"/>
    </row>
    <row r="267">
      <c r="C267" s="3"/>
    </row>
    <row r="268">
      <c r="C268" s="3"/>
    </row>
    <row r="269">
      <c r="C269" s="3"/>
    </row>
    <row r="270">
      <c r="C270" s="3"/>
    </row>
    <row r="271">
      <c r="C271" s="3"/>
    </row>
    <row r="272">
      <c r="C272" s="3"/>
    </row>
    <row r="273">
      <c r="C273" s="3"/>
    </row>
    <row r="274">
      <c r="C274" s="3"/>
    </row>
    <row r="275">
      <c r="C275" s="3"/>
    </row>
    <row r="276">
      <c r="C276" s="3"/>
    </row>
    <row r="277">
      <c r="C277" s="3"/>
    </row>
    <row r="278">
      <c r="C278" s="3"/>
    </row>
    <row r="279">
      <c r="C279" s="3"/>
    </row>
    <row r="280">
      <c r="C280" s="3"/>
    </row>
    <row r="281">
      <c r="C281" s="3"/>
    </row>
    <row r="282">
      <c r="C282" s="3"/>
    </row>
    <row r="283">
      <c r="C283" s="3"/>
    </row>
    <row r="284">
      <c r="C284" s="3"/>
    </row>
    <row r="285">
      <c r="C285" s="3"/>
    </row>
    <row r="286">
      <c r="C286" s="3"/>
    </row>
    <row r="287">
      <c r="C287" s="3"/>
    </row>
    <row r="288">
      <c r="C288" s="3"/>
    </row>
    <row r="289">
      <c r="C289" s="3"/>
    </row>
    <row r="290">
      <c r="C290" s="3"/>
    </row>
    <row r="291">
      <c r="C291" s="3"/>
    </row>
    <row r="292">
      <c r="C292" s="3"/>
    </row>
    <row r="293">
      <c r="C293" s="3"/>
    </row>
    <row r="294">
      <c r="C294" s="3"/>
    </row>
    <row r="295">
      <c r="C295" s="3"/>
    </row>
    <row r="296">
      <c r="C296" s="3"/>
    </row>
    <row r="297">
      <c r="C297" s="3"/>
    </row>
    <row r="298">
      <c r="C298" s="3"/>
    </row>
    <row r="299">
      <c r="C299" s="3"/>
    </row>
    <row r="300">
      <c r="C300" s="3"/>
    </row>
    <row r="301">
      <c r="C301" s="3"/>
    </row>
    <row r="302">
      <c r="C302" s="3"/>
    </row>
    <row r="303">
      <c r="C303" s="3"/>
    </row>
    <row r="304">
      <c r="C304" s="3"/>
    </row>
    <row r="305">
      <c r="C305" s="3"/>
    </row>
    <row r="306">
      <c r="C306" s="3"/>
    </row>
    <row r="307">
      <c r="C307" s="3"/>
    </row>
    <row r="308">
      <c r="C308" s="3"/>
    </row>
    <row r="309">
      <c r="C309" s="3"/>
    </row>
    <row r="310">
      <c r="C310" s="3"/>
    </row>
    <row r="311">
      <c r="C311" s="3"/>
    </row>
    <row r="312">
      <c r="C312" s="3"/>
    </row>
    <row r="313">
      <c r="C313" s="3"/>
    </row>
    <row r="314">
      <c r="C314" s="3"/>
    </row>
    <row r="315">
      <c r="C315" s="3"/>
    </row>
    <row r="316">
      <c r="C316" s="3"/>
    </row>
    <row r="317">
      <c r="C317" s="3"/>
    </row>
    <row r="318">
      <c r="C318" s="3"/>
    </row>
    <row r="319">
      <c r="C319" s="3"/>
    </row>
    <row r="320">
      <c r="C320" s="3"/>
    </row>
    <row r="321">
      <c r="C321" s="3"/>
    </row>
    <row r="322">
      <c r="C322" s="3"/>
    </row>
    <row r="323">
      <c r="C323" s="3"/>
    </row>
    <row r="324">
      <c r="C324" s="3"/>
    </row>
    <row r="325">
      <c r="C325" s="3"/>
    </row>
    <row r="326">
      <c r="C326" s="3"/>
    </row>
    <row r="327">
      <c r="C327" s="3"/>
    </row>
    <row r="328">
      <c r="C328" s="3"/>
    </row>
    <row r="329">
      <c r="C329" s="3"/>
    </row>
    <row r="330">
      <c r="C330" s="3"/>
    </row>
    <row r="331">
      <c r="C331" s="3"/>
    </row>
    <row r="332">
      <c r="C332" s="3"/>
    </row>
    <row r="333">
      <c r="C333" s="3"/>
    </row>
    <row r="334">
      <c r="C334" s="3"/>
    </row>
    <row r="335">
      <c r="C335" s="3"/>
    </row>
    <row r="336">
      <c r="C336" s="3"/>
    </row>
    <row r="337">
      <c r="C337" s="3"/>
    </row>
    <row r="338">
      <c r="C338" s="3"/>
    </row>
    <row r="339">
      <c r="C339" s="3"/>
    </row>
    <row r="340">
      <c r="C340" s="3"/>
    </row>
    <row r="341">
      <c r="C341" s="3"/>
    </row>
    <row r="342">
      <c r="C342" s="3"/>
    </row>
    <row r="343">
      <c r="C343" s="3"/>
    </row>
    <row r="344">
      <c r="C344" s="3"/>
    </row>
    <row r="345">
      <c r="C345" s="3"/>
    </row>
    <row r="346">
      <c r="C346" s="3"/>
    </row>
    <row r="347">
      <c r="C347" s="3"/>
    </row>
    <row r="348">
      <c r="C348" s="3"/>
    </row>
    <row r="349">
      <c r="C349" s="3"/>
    </row>
    <row r="350">
      <c r="C350" s="3"/>
    </row>
    <row r="351">
      <c r="C351" s="3"/>
    </row>
    <row r="352">
      <c r="C352" s="3"/>
    </row>
    <row r="353">
      <c r="C353" s="3"/>
    </row>
    <row r="354">
      <c r="C354" s="3"/>
    </row>
    <row r="355">
      <c r="C355" s="3"/>
    </row>
    <row r="356">
      <c r="C356" s="3"/>
    </row>
    <row r="357">
      <c r="C357" s="3"/>
    </row>
    <row r="358">
      <c r="C358" s="3"/>
    </row>
    <row r="359">
      <c r="C359" s="3"/>
    </row>
    <row r="360">
      <c r="C360" s="3"/>
    </row>
    <row r="361">
      <c r="C361" s="3"/>
    </row>
    <row r="362">
      <c r="C362" s="3"/>
    </row>
    <row r="363">
      <c r="C363" s="3"/>
    </row>
    <row r="364">
      <c r="C364" s="3"/>
    </row>
    <row r="365">
      <c r="C365" s="3"/>
    </row>
    <row r="366">
      <c r="C366" s="3"/>
    </row>
    <row r="367">
      <c r="C367" s="3"/>
    </row>
    <row r="368">
      <c r="C368" s="3"/>
    </row>
    <row r="369">
      <c r="C369" s="3"/>
    </row>
    <row r="370">
      <c r="C370" s="3"/>
    </row>
    <row r="371">
      <c r="C371" s="3"/>
    </row>
    <row r="372">
      <c r="C372" s="3"/>
    </row>
    <row r="373">
      <c r="C373" s="3"/>
    </row>
    <row r="374">
      <c r="C374" s="3"/>
    </row>
    <row r="375">
      <c r="C375" s="3"/>
    </row>
    <row r="376">
      <c r="C376" s="3"/>
    </row>
    <row r="377">
      <c r="C377" s="3"/>
    </row>
    <row r="378">
      <c r="C378" s="3"/>
    </row>
    <row r="379">
      <c r="C379" s="3"/>
    </row>
    <row r="380">
      <c r="C380" s="3"/>
    </row>
    <row r="381">
      <c r="C381" s="3"/>
    </row>
    <row r="382">
      <c r="C382" s="3"/>
    </row>
    <row r="383">
      <c r="C383" s="3"/>
    </row>
    <row r="384">
      <c r="C384" s="3"/>
    </row>
    <row r="385">
      <c r="C385" s="3"/>
    </row>
    <row r="386">
      <c r="C386" s="3"/>
    </row>
    <row r="387">
      <c r="C387" s="3"/>
    </row>
    <row r="388">
      <c r="C388" s="3"/>
    </row>
    <row r="389">
      <c r="C389" s="3"/>
    </row>
    <row r="390">
      <c r="C390" s="3"/>
    </row>
    <row r="391">
      <c r="C391" s="3"/>
    </row>
    <row r="392">
      <c r="C392" s="3"/>
    </row>
    <row r="393">
      <c r="C393" s="3"/>
    </row>
    <row r="394">
      <c r="C394" s="3"/>
    </row>
    <row r="395">
      <c r="C395" s="3"/>
    </row>
    <row r="396">
      <c r="C396" s="3"/>
    </row>
    <row r="397">
      <c r="C397" s="3"/>
    </row>
    <row r="398">
      <c r="C398" s="3"/>
    </row>
    <row r="399">
      <c r="C399" s="3"/>
    </row>
    <row r="400">
      <c r="C400" s="3"/>
    </row>
    <row r="401">
      <c r="C401" s="3"/>
    </row>
    <row r="402">
      <c r="C402" s="3"/>
    </row>
    <row r="403">
      <c r="C403" s="3"/>
    </row>
    <row r="404">
      <c r="C404" s="3"/>
    </row>
    <row r="405">
      <c r="C405" s="3"/>
    </row>
    <row r="406">
      <c r="C406" s="3"/>
    </row>
    <row r="407">
      <c r="C407" s="3"/>
    </row>
    <row r="408">
      <c r="C408" s="3"/>
    </row>
    <row r="409">
      <c r="C409" s="3"/>
    </row>
    <row r="410">
      <c r="C410" s="3"/>
    </row>
    <row r="411">
      <c r="C411" s="3"/>
    </row>
    <row r="412">
      <c r="C412" s="3"/>
    </row>
    <row r="413">
      <c r="C413" s="3"/>
    </row>
    <row r="414">
      <c r="C414" s="3"/>
    </row>
    <row r="415">
      <c r="C415" s="3"/>
    </row>
    <row r="416">
      <c r="C416" s="3"/>
    </row>
    <row r="417">
      <c r="C417" s="3"/>
    </row>
    <row r="418">
      <c r="C418" s="3"/>
    </row>
    <row r="419">
      <c r="C419" s="3"/>
    </row>
    <row r="420">
      <c r="C420" s="3"/>
    </row>
    <row r="421">
      <c r="C421" s="3"/>
    </row>
    <row r="422">
      <c r="C422" s="3"/>
    </row>
    <row r="423">
      <c r="C423" s="3"/>
    </row>
    <row r="424">
      <c r="C424" s="3"/>
    </row>
    <row r="425">
      <c r="C425" s="3"/>
    </row>
    <row r="426">
      <c r="C426" s="3"/>
    </row>
    <row r="427">
      <c r="C427" s="3"/>
    </row>
    <row r="428">
      <c r="C428" s="3"/>
    </row>
    <row r="429">
      <c r="C429" s="3"/>
    </row>
    <row r="430">
      <c r="C430" s="3"/>
    </row>
    <row r="431">
      <c r="C431" s="3"/>
    </row>
    <row r="432">
      <c r="C432" s="3"/>
    </row>
    <row r="433">
      <c r="C433" s="3"/>
    </row>
    <row r="434">
      <c r="C434" s="3"/>
    </row>
    <row r="435">
      <c r="C435" s="3"/>
    </row>
    <row r="436">
      <c r="C436" s="3"/>
    </row>
    <row r="437">
      <c r="C437" s="3"/>
    </row>
    <row r="438">
      <c r="C438" s="3"/>
    </row>
    <row r="439">
      <c r="C439" s="3"/>
    </row>
    <row r="440">
      <c r="C440" s="3"/>
    </row>
    <row r="441">
      <c r="C441" s="3"/>
    </row>
    <row r="442">
      <c r="C442" s="3"/>
    </row>
    <row r="443">
      <c r="C443" s="3"/>
    </row>
    <row r="444">
      <c r="C444" s="3"/>
    </row>
    <row r="445">
      <c r="C445" s="3"/>
    </row>
    <row r="446">
      <c r="C446" s="3"/>
    </row>
    <row r="447">
      <c r="C447" s="3"/>
    </row>
    <row r="448">
      <c r="C448" s="3"/>
    </row>
    <row r="449">
      <c r="C449" s="3"/>
    </row>
    <row r="450">
      <c r="C450" s="3"/>
    </row>
    <row r="451">
      <c r="C451" s="3"/>
    </row>
    <row r="452">
      <c r="C452" s="3"/>
    </row>
    <row r="453">
      <c r="C453" s="3"/>
    </row>
    <row r="454">
      <c r="C454" s="3"/>
    </row>
    <row r="455">
      <c r="C455" s="3"/>
    </row>
    <row r="456">
      <c r="C456" s="3"/>
    </row>
    <row r="457">
      <c r="C457" s="3"/>
    </row>
    <row r="458">
      <c r="C458" s="3"/>
    </row>
    <row r="459">
      <c r="C459" s="3"/>
    </row>
    <row r="460">
      <c r="C460" s="3"/>
    </row>
    <row r="461">
      <c r="C461" s="3"/>
    </row>
    <row r="462">
      <c r="C462" s="3"/>
    </row>
    <row r="463">
      <c r="C463" s="3"/>
    </row>
    <row r="464">
      <c r="C464" s="3"/>
    </row>
    <row r="465">
      <c r="C465" s="3"/>
    </row>
    <row r="466">
      <c r="C466" s="3"/>
    </row>
    <row r="467">
      <c r="C467" s="3"/>
    </row>
    <row r="468">
      <c r="C468" s="3"/>
    </row>
    <row r="469">
      <c r="C469" s="3"/>
    </row>
    <row r="470">
      <c r="C470" s="3"/>
    </row>
    <row r="471">
      <c r="C471" s="3"/>
    </row>
    <row r="472">
      <c r="C472" s="3"/>
    </row>
    <row r="473">
      <c r="C473" s="3"/>
    </row>
    <row r="474">
      <c r="C474" s="3"/>
    </row>
    <row r="475">
      <c r="C475" s="3"/>
    </row>
    <row r="476">
      <c r="C476" s="3"/>
    </row>
    <row r="477">
      <c r="C477" s="3"/>
    </row>
    <row r="478">
      <c r="C478" s="3"/>
    </row>
    <row r="479">
      <c r="C479" s="3"/>
    </row>
    <row r="480">
      <c r="C480" s="3"/>
    </row>
    <row r="481">
      <c r="C481" s="3"/>
    </row>
    <row r="482">
      <c r="C482" s="3"/>
    </row>
    <row r="483">
      <c r="C483" s="3"/>
    </row>
    <row r="484">
      <c r="C484" s="3"/>
    </row>
    <row r="485">
      <c r="C485" s="3"/>
    </row>
    <row r="486">
      <c r="C486" s="3"/>
    </row>
    <row r="487">
      <c r="C487" s="3"/>
    </row>
    <row r="488">
      <c r="C488" s="3"/>
    </row>
    <row r="489">
      <c r="C489" s="3"/>
    </row>
    <row r="490">
      <c r="C490" s="3"/>
    </row>
    <row r="491">
      <c r="C491" s="3"/>
    </row>
    <row r="492">
      <c r="C492" s="3"/>
    </row>
    <row r="493">
      <c r="C493" s="3"/>
    </row>
    <row r="494">
      <c r="C494" s="3"/>
    </row>
    <row r="495">
      <c r="C495" s="3"/>
    </row>
    <row r="496">
      <c r="C496" s="3"/>
    </row>
    <row r="497">
      <c r="C497" s="3"/>
    </row>
    <row r="498">
      <c r="C498" s="3"/>
    </row>
    <row r="499">
      <c r="C499" s="3"/>
    </row>
    <row r="500">
      <c r="C500" s="3"/>
    </row>
    <row r="501">
      <c r="C501" s="3"/>
    </row>
    <row r="502">
      <c r="C502" s="3"/>
    </row>
    <row r="503">
      <c r="C503" s="3"/>
    </row>
    <row r="504">
      <c r="C504" s="3"/>
    </row>
    <row r="505">
      <c r="C505" s="3"/>
    </row>
    <row r="506">
      <c r="C506" s="3"/>
    </row>
    <row r="507">
      <c r="C507" s="3"/>
    </row>
    <row r="508">
      <c r="C508" s="3"/>
    </row>
    <row r="509">
      <c r="C509" s="3"/>
    </row>
    <row r="510">
      <c r="C510" s="3"/>
    </row>
    <row r="511">
      <c r="C511" s="3"/>
    </row>
    <row r="512">
      <c r="C512" s="3"/>
    </row>
    <row r="513">
      <c r="C513" s="3"/>
    </row>
    <row r="514">
      <c r="C514" s="3"/>
    </row>
    <row r="515">
      <c r="C515" s="3"/>
    </row>
    <row r="516">
      <c r="C516" s="3"/>
    </row>
    <row r="517">
      <c r="C517" s="3"/>
    </row>
    <row r="518">
      <c r="C518" s="3"/>
    </row>
    <row r="519">
      <c r="C519" s="3"/>
    </row>
    <row r="520">
      <c r="C520" s="3"/>
    </row>
    <row r="521">
      <c r="C521" s="3"/>
    </row>
    <row r="522">
      <c r="C522" s="3"/>
    </row>
    <row r="523">
      <c r="C523" s="3"/>
    </row>
    <row r="524">
      <c r="C524" s="3"/>
    </row>
    <row r="525">
      <c r="C525" s="3"/>
    </row>
    <row r="526">
      <c r="C526" s="3"/>
    </row>
    <row r="527">
      <c r="C527" s="3"/>
    </row>
    <row r="528">
      <c r="C528" s="3"/>
    </row>
    <row r="529">
      <c r="C529" s="3"/>
    </row>
    <row r="530">
      <c r="C530" s="3"/>
    </row>
    <row r="531">
      <c r="C531" s="3"/>
    </row>
    <row r="532">
      <c r="C532" s="3"/>
    </row>
    <row r="533">
      <c r="C533" s="3"/>
    </row>
    <row r="534">
      <c r="C534" s="3"/>
    </row>
    <row r="535">
      <c r="C535" s="3"/>
    </row>
    <row r="536">
      <c r="C536" s="3"/>
    </row>
    <row r="537">
      <c r="C537" s="3"/>
    </row>
    <row r="538">
      <c r="C538" s="3"/>
    </row>
    <row r="539">
      <c r="C539" s="3"/>
    </row>
    <row r="540">
      <c r="C540" s="3"/>
    </row>
    <row r="541">
      <c r="C541" s="3"/>
    </row>
    <row r="542">
      <c r="C542" s="3"/>
    </row>
    <row r="543">
      <c r="C543" s="3"/>
    </row>
    <row r="544">
      <c r="C544" s="3"/>
    </row>
    <row r="545">
      <c r="C545" s="3"/>
    </row>
    <row r="546">
      <c r="C546" s="3"/>
    </row>
    <row r="547">
      <c r="C547" s="3"/>
    </row>
    <row r="548">
      <c r="C548" s="3"/>
    </row>
    <row r="549">
      <c r="C549" s="3"/>
    </row>
    <row r="550">
      <c r="C550" s="3"/>
    </row>
    <row r="551">
      <c r="C551" s="3"/>
    </row>
    <row r="552">
      <c r="C552" s="3"/>
    </row>
    <row r="553">
      <c r="C553" s="3"/>
    </row>
    <row r="554">
      <c r="C554" s="3"/>
    </row>
    <row r="555">
      <c r="C555" s="3"/>
    </row>
    <row r="556">
      <c r="C556" s="3"/>
    </row>
    <row r="557">
      <c r="C557" s="3"/>
    </row>
    <row r="558">
      <c r="C558" s="3"/>
    </row>
    <row r="559">
      <c r="C559" s="3"/>
    </row>
    <row r="560">
      <c r="C560" s="3"/>
    </row>
    <row r="561">
      <c r="C561" s="3"/>
    </row>
    <row r="562">
      <c r="C562" s="3"/>
    </row>
    <row r="563">
      <c r="C563" s="3"/>
    </row>
    <row r="564">
      <c r="C564" s="3"/>
    </row>
    <row r="565">
      <c r="C565" s="3"/>
    </row>
    <row r="566">
      <c r="C566" s="3"/>
    </row>
    <row r="567">
      <c r="C567" s="3"/>
    </row>
    <row r="568">
      <c r="C568" s="3"/>
    </row>
    <row r="569">
      <c r="C569" s="3"/>
    </row>
    <row r="570">
      <c r="C570" s="3"/>
    </row>
    <row r="571">
      <c r="C571" s="3"/>
    </row>
    <row r="572">
      <c r="C572" s="3"/>
    </row>
    <row r="573">
      <c r="C573" s="3"/>
    </row>
    <row r="574">
      <c r="C574" s="3"/>
    </row>
    <row r="575">
      <c r="C575" s="3"/>
    </row>
    <row r="576">
      <c r="C576" s="3"/>
    </row>
    <row r="577">
      <c r="C577" s="3"/>
    </row>
    <row r="578">
      <c r="C578" s="3"/>
    </row>
    <row r="579">
      <c r="C579" s="3"/>
    </row>
    <row r="580">
      <c r="C580" s="3"/>
    </row>
    <row r="581">
      <c r="C581" s="3"/>
    </row>
    <row r="582">
      <c r="C582" s="3"/>
    </row>
    <row r="583">
      <c r="C583" s="3"/>
    </row>
    <row r="584">
      <c r="C584" s="3"/>
    </row>
    <row r="585">
      <c r="C585" s="3"/>
    </row>
    <row r="586">
      <c r="C586" s="3"/>
    </row>
    <row r="587">
      <c r="C587" s="3"/>
    </row>
    <row r="588">
      <c r="C588" s="3"/>
    </row>
    <row r="589">
      <c r="C589" s="3"/>
    </row>
    <row r="590">
      <c r="C590" s="3"/>
    </row>
    <row r="591">
      <c r="C591" s="3"/>
    </row>
    <row r="592">
      <c r="C592" s="3"/>
    </row>
    <row r="593">
      <c r="C593" s="3"/>
    </row>
    <row r="594">
      <c r="C594" s="3"/>
    </row>
    <row r="595">
      <c r="C595" s="3"/>
    </row>
    <row r="596">
      <c r="C596" s="3"/>
    </row>
    <row r="597">
      <c r="C597" s="3"/>
    </row>
    <row r="598">
      <c r="C598" s="3"/>
    </row>
    <row r="599">
      <c r="C599" s="3"/>
    </row>
    <row r="600">
      <c r="C600" s="3"/>
    </row>
    <row r="601">
      <c r="C601" s="3"/>
    </row>
    <row r="602">
      <c r="C602" s="3"/>
    </row>
    <row r="603">
      <c r="C603" s="3"/>
    </row>
    <row r="604">
      <c r="C604" s="3"/>
    </row>
    <row r="605">
      <c r="C605" s="3"/>
    </row>
    <row r="606">
      <c r="C606" s="3"/>
    </row>
    <row r="607">
      <c r="C607" s="3"/>
    </row>
    <row r="608">
      <c r="C608" s="3"/>
    </row>
    <row r="609">
      <c r="C609" s="3"/>
    </row>
    <row r="610">
      <c r="C610" s="3"/>
    </row>
    <row r="611">
      <c r="C611" s="3"/>
    </row>
    <row r="612">
      <c r="C612" s="3"/>
    </row>
    <row r="613">
      <c r="C613" s="3"/>
    </row>
    <row r="614">
      <c r="C614" s="3"/>
    </row>
    <row r="615">
      <c r="C615" s="3"/>
    </row>
    <row r="616">
      <c r="C616" s="3"/>
    </row>
    <row r="617">
      <c r="C617" s="3"/>
    </row>
    <row r="618">
      <c r="C618" s="3"/>
    </row>
    <row r="619">
      <c r="C619" s="3"/>
    </row>
    <row r="620">
      <c r="C620" s="3"/>
    </row>
    <row r="621">
      <c r="C621" s="3"/>
    </row>
    <row r="622">
      <c r="C622" s="3"/>
    </row>
    <row r="623">
      <c r="C623" s="3"/>
    </row>
    <row r="624">
      <c r="C624" s="3"/>
    </row>
    <row r="625">
      <c r="C625" s="3"/>
    </row>
    <row r="626">
      <c r="C626" s="3"/>
    </row>
    <row r="627">
      <c r="C627" s="3"/>
    </row>
    <row r="628">
      <c r="C628" s="3"/>
    </row>
    <row r="629">
      <c r="C629" s="3"/>
    </row>
    <row r="630">
      <c r="C630" s="3"/>
    </row>
    <row r="631">
      <c r="C631" s="3"/>
    </row>
    <row r="632">
      <c r="C632" s="3"/>
    </row>
    <row r="633">
      <c r="C633" s="3"/>
    </row>
    <row r="634">
      <c r="C634" s="3"/>
    </row>
    <row r="635">
      <c r="C635" s="3"/>
    </row>
    <row r="636">
      <c r="C636" s="3"/>
    </row>
    <row r="637">
      <c r="C637" s="3"/>
    </row>
    <row r="638">
      <c r="C638" s="3"/>
    </row>
    <row r="639">
      <c r="C639" s="3"/>
    </row>
    <row r="640">
      <c r="C640" s="3"/>
    </row>
    <row r="641">
      <c r="C641" s="3"/>
    </row>
    <row r="642">
      <c r="C642" s="3"/>
    </row>
    <row r="643">
      <c r="C643" s="3"/>
    </row>
    <row r="644">
      <c r="C644" s="3"/>
    </row>
    <row r="645">
      <c r="C645" s="3"/>
    </row>
    <row r="646">
      <c r="C646" s="3"/>
    </row>
    <row r="647">
      <c r="C647" s="3"/>
    </row>
    <row r="648">
      <c r="C648" s="3"/>
    </row>
    <row r="649">
      <c r="C649" s="3"/>
    </row>
    <row r="650">
      <c r="C650" s="3"/>
    </row>
    <row r="651">
      <c r="C651" s="3"/>
    </row>
    <row r="652">
      <c r="C652" s="3"/>
    </row>
    <row r="653">
      <c r="C653" s="3"/>
    </row>
    <row r="654">
      <c r="C654" s="3"/>
    </row>
    <row r="655">
      <c r="C655" s="3"/>
    </row>
    <row r="656">
      <c r="C656" s="3"/>
    </row>
    <row r="657">
      <c r="C657" s="3"/>
    </row>
    <row r="658">
      <c r="C658" s="3"/>
    </row>
    <row r="659">
      <c r="C659" s="3"/>
    </row>
    <row r="660">
      <c r="C660" s="3"/>
    </row>
    <row r="661">
      <c r="C661" s="3"/>
    </row>
    <row r="662">
      <c r="C662" s="3"/>
    </row>
    <row r="663">
      <c r="C663" s="3"/>
    </row>
    <row r="664">
      <c r="C664" s="3"/>
    </row>
    <row r="665">
      <c r="C665" s="3"/>
    </row>
    <row r="666">
      <c r="C666" s="3"/>
    </row>
    <row r="667">
      <c r="C667" s="3"/>
    </row>
    <row r="668">
      <c r="C668" s="3"/>
    </row>
    <row r="669">
      <c r="C669" s="3"/>
    </row>
    <row r="670">
      <c r="C670" s="3"/>
    </row>
    <row r="671">
      <c r="C671" s="3"/>
    </row>
    <row r="672">
      <c r="C672" s="3"/>
    </row>
    <row r="673">
      <c r="C673" s="3"/>
    </row>
    <row r="674">
      <c r="C674" s="3"/>
    </row>
    <row r="675">
      <c r="C675" s="3"/>
    </row>
    <row r="676">
      <c r="C676" s="3"/>
    </row>
    <row r="677">
      <c r="C677" s="3"/>
    </row>
    <row r="678">
      <c r="C678" s="3"/>
    </row>
    <row r="679">
      <c r="C679" s="3"/>
    </row>
    <row r="680">
      <c r="C680" s="3"/>
    </row>
    <row r="681">
      <c r="C681" s="3"/>
    </row>
    <row r="682">
      <c r="C682" s="3"/>
    </row>
    <row r="683">
      <c r="C683" s="3"/>
    </row>
    <row r="684">
      <c r="C684" s="3"/>
    </row>
    <row r="685">
      <c r="C685" s="3"/>
    </row>
    <row r="686">
      <c r="C686" s="3"/>
    </row>
    <row r="687">
      <c r="C687" s="3"/>
    </row>
    <row r="688">
      <c r="C688" s="3"/>
    </row>
    <row r="689">
      <c r="C689" s="3"/>
    </row>
    <row r="690">
      <c r="C690" s="3"/>
    </row>
    <row r="691">
      <c r="C691" s="3"/>
    </row>
    <row r="692">
      <c r="C692" s="3"/>
    </row>
    <row r="693">
      <c r="C693" s="3"/>
    </row>
    <row r="694">
      <c r="C694" s="3"/>
    </row>
    <row r="695">
      <c r="C695" s="3"/>
    </row>
    <row r="696">
      <c r="C696" s="3"/>
    </row>
    <row r="697">
      <c r="C697" s="3"/>
    </row>
    <row r="698">
      <c r="C698" s="3"/>
    </row>
    <row r="699">
      <c r="C699" s="3"/>
    </row>
    <row r="700">
      <c r="C700" s="3"/>
    </row>
    <row r="701">
      <c r="C701" s="3"/>
    </row>
    <row r="702">
      <c r="C702" s="3"/>
    </row>
    <row r="703">
      <c r="C703" s="3"/>
    </row>
    <row r="704">
      <c r="C704" s="3"/>
    </row>
    <row r="705">
      <c r="C705" s="3"/>
    </row>
    <row r="706">
      <c r="C706" s="3"/>
    </row>
    <row r="707">
      <c r="C707" s="3"/>
    </row>
    <row r="708">
      <c r="C708" s="3"/>
    </row>
    <row r="709">
      <c r="C709" s="3"/>
    </row>
    <row r="710">
      <c r="C710" s="3"/>
    </row>
    <row r="711">
      <c r="C711" s="3"/>
    </row>
    <row r="712">
      <c r="C712" s="3"/>
    </row>
    <row r="713">
      <c r="C713" s="3"/>
    </row>
    <row r="714">
      <c r="C714" s="3"/>
    </row>
    <row r="715">
      <c r="C715" s="3"/>
    </row>
    <row r="716">
      <c r="C716" s="3"/>
    </row>
    <row r="717">
      <c r="C717" s="3"/>
    </row>
    <row r="718">
      <c r="C718" s="3"/>
    </row>
    <row r="719">
      <c r="C719" s="3"/>
    </row>
    <row r="720">
      <c r="C720" s="3"/>
    </row>
    <row r="721">
      <c r="C721" s="3"/>
    </row>
    <row r="722">
      <c r="C722" s="3"/>
    </row>
    <row r="723">
      <c r="C723" s="3"/>
    </row>
    <row r="724">
      <c r="C724" s="3"/>
    </row>
    <row r="725">
      <c r="C725" s="3"/>
    </row>
    <row r="726">
      <c r="C726" s="3"/>
    </row>
    <row r="727">
      <c r="C727" s="3"/>
    </row>
    <row r="728">
      <c r="C728" s="3"/>
    </row>
    <row r="729">
      <c r="C729" s="3"/>
    </row>
    <row r="730">
      <c r="C730" s="3"/>
    </row>
    <row r="731">
      <c r="C731" s="3"/>
    </row>
    <row r="732">
      <c r="C732" s="3"/>
    </row>
    <row r="733">
      <c r="C733" s="3"/>
    </row>
    <row r="734">
      <c r="C734" s="3"/>
    </row>
    <row r="735">
      <c r="C735" s="3"/>
    </row>
    <row r="736">
      <c r="C736" s="3"/>
    </row>
    <row r="737">
      <c r="C737" s="3"/>
    </row>
    <row r="738">
      <c r="C738" s="3"/>
    </row>
    <row r="739">
      <c r="C739" s="3"/>
    </row>
    <row r="740">
      <c r="C740" s="3"/>
    </row>
    <row r="741">
      <c r="C741" s="3"/>
    </row>
    <row r="742">
      <c r="C742" s="3"/>
    </row>
    <row r="743">
      <c r="C743" s="3"/>
    </row>
    <row r="744">
      <c r="C744" s="3"/>
    </row>
    <row r="745">
      <c r="C745" s="3"/>
    </row>
    <row r="746">
      <c r="C746" s="3"/>
    </row>
    <row r="747">
      <c r="C747" s="3"/>
    </row>
    <row r="748">
      <c r="C748" s="3"/>
    </row>
    <row r="749">
      <c r="C749" s="3"/>
    </row>
    <row r="750">
      <c r="C750" s="3"/>
    </row>
    <row r="751">
      <c r="C751" s="3"/>
    </row>
    <row r="752">
      <c r="C752" s="3"/>
    </row>
    <row r="753">
      <c r="C753" s="3"/>
    </row>
    <row r="754">
      <c r="C754" s="3"/>
    </row>
    <row r="755">
      <c r="C755" s="3"/>
    </row>
    <row r="756">
      <c r="C756" s="3"/>
    </row>
    <row r="757">
      <c r="C757" s="3"/>
    </row>
    <row r="758">
      <c r="C758" s="3"/>
    </row>
    <row r="759">
      <c r="C759" s="3"/>
    </row>
    <row r="760">
      <c r="C760" s="3"/>
    </row>
    <row r="761">
      <c r="C761" s="3"/>
    </row>
    <row r="762">
      <c r="C762" s="3"/>
    </row>
    <row r="763">
      <c r="C763" s="3"/>
    </row>
    <row r="764">
      <c r="C764" s="3"/>
    </row>
    <row r="765">
      <c r="C765" s="3"/>
    </row>
    <row r="766">
      <c r="C766" s="3"/>
    </row>
    <row r="767">
      <c r="C767" s="3"/>
    </row>
    <row r="768">
      <c r="C768" s="3"/>
    </row>
    <row r="769">
      <c r="C769" s="3"/>
    </row>
    <row r="770">
      <c r="C770" s="3"/>
    </row>
    <row r="771">
      <c r="C771" s="3"/>
    </row>
    <row r="772">
      <c r="C772" s="3"/>
    </row>
    <row r="773">
      <c r="C773" s="3"/>
    </row>
    <row r="774">
      <c r="C774" s="3"/>
    </row>
    <row r="775">
      <c r="C775" s="3"/>
    </row>
    <row r="776">
      <c r="C776" s="3"/>
    </row>
    <row r="777">
      <c r="C777" s="3"/>
    </row>
    <row r="778">
      <c r="C778" s="3"/>
    </row>
    <row r="779">
      <c r="C779" s="3"/>
    </row>
    <row r="780">
      <c r="C780" s="3"/>
    </row>
    <row r="781">
      <c r="C781" s="3"/>
    </row>
    <row r="782">
      <c r="C782" s="3"/>
    </row>
    <row r="783">
      <c r="C783" s="3"/>
    </row>
    <row r="784">
      <c r="C784" s="3"/>
    </row>
    <row r="785">
      <c r="C785" s="3"/>
    </row>
    <row r="786">
      <c r="C786" s="3"/>
    </row>
    <row r="787">
      <c r="C787" s="3"/>
    </row>
    <row r="788">
      <c r="C788" s="3"/>
    </row>
    <row r="789">
      <c r="C789" s="3"/>
    </row>
    <row r="790">
      <c r="C790" s="3"/>
    </row>
    <row r="791">
      <c r="C791" s="3"/>
    </row>
    <row r="792">
      <c r="C792" s="3"/>
    </row>
    <row r="793">
      <c r="C793" s="3"/>
    </row>
    <row r="794">
      <c r="C794" s="3"/>
    </row>
    <row r="795">
      <c r="C795" s="3"/>
    </row>
    <row r="796">
      <c r="C796" s="3"/>
    </row>
    <row r="797">
      <c r="C797" s="3"/>
    </row>
    <row r="798">
      <c r="C798" s="3"/>
    </row>
    <row r="799">
      <c r="C799" s="3"/>
    </row>
    <row r="800">
      <c r="C800" s="3"/>
    </row>
    <row r="801">
      <c r="C801" s="3"/>
    </row>
    <row r="802">
      <c r="C802" s="3"/>
    </row>
    <row r="803">
      <c r="C803" s="3"/>
    </row>
    <row r="804">
      <c r="C804" s="3"/>
    </row>
    <row r="805">
      <c r="C805" s="3"/>
    </row>
    <row r="806">
      <c r="C806" s="3"/>
    </row>
    <row r="807">
      <c r="C807" s="3"/>
    </row>
    <row r="808">
      <c r="C808" s="3"/>
    </row>
    <row r="809">
      <c r="C809" s="3"/>
    </row>
    <row r="810">
      <c r="C810" s="3"/>
    </row>
    <row r="811">
      <c r="C811" s="3"/>
    </row>
    <row r="812">
      <c r="C812" s="3"/>
    </row>
    <row r="813">
      <c r="C813" s="3"/>
    </row>
    <row r="814">
      <c r="C814" s="3"/>
    </row>
    <row r="815">
      <c r="C815" s="3"/>
    </row>
    <row r="816">
      <c r="C816" s="3"/>
    </row>
    <row r="817">
      <c r="C817" s="3"/>
    </row>
    <row r="818">
      <c r="C818" s="3"/>
    </row>
    <row r="819">
      <c r="C819" s="3"/>
    </row>
    <row r="820">
      <c r="C820" s="3"/>
    </row>
    <row r="821">
      <c r="C821" s="3"/>
    </row>
    <row r="822">
      <c r="C822" s="3"/>
    </row>
    <row r="823">
      <c r="C823" s="3"/>
    </row>
    <row r="824">
      <c r="C824" s="3"/>
    </row>
    <row r="825">
      <c r="C825" s="3"/>
    </row>
    <row r="826">
      <c r="C826" s="3"/>
    </row>
    <row r="827">
      <c r="C827" s="3"/>
    </row>
    <row r="828">
      <c r="C828" s="3"/>
    </row>
    <row r="829">
      <c r="C829" s="3"/>
    </row>
    <row r="830">
      <c r="C830" s="3"/>
    </row>
    <row r="831">
      <c r="C831" s="3"/>
    </row>
    <row r="832">
      <c r="C832" s="3"/>
    </row>
    <row r="833">
      <c r="C833" s="3"/>
    </row>
    <row r="834">
      <c r="C834" s="3"/>
    </row>
    <row r="835">
      <c r="C835" s="3"/>
    </row>
    <row r="836">
      <c r="C836" s="3"/>
    </row>
    <row r="837">
      <c r="C837" s="3"/>
    </row>
    <row r="838">
      <c r="C838" s="3"/>
    </row>
    <row r="839">
      <c r="C839" s="3"/>
    </row>
    <row r="840">
      <c r="C840" s="3"/>
    </row>
    <row r="841">
      <c r="C841" s="3"/>
    </row>
    <row r="842">
      <c r="C842" s="3"/>
    </row>
    <row r="843">
      <c r="C843" s="3"/>
    </row>
    <row r="844">
      <c r="C844" s="3"/>
    </row>
    <row r="845">
      <c r="C845" s="3"/>
    </row>
    <row r="846">
      <c r="C846" s="3"/>
    </row>
    <row r="847">
      <c r="C847" s="3"/>
    </row>
    <row r="848">
      <c r="C848" s="3"/>
    </row>
    <row r="849">
      <c r="C849" s="3"/>
    </row>
    <row r="850">
      <c r="C850" s="3"/>
    </row>
    <row r="851">
      <c r="C851" s="3"/>
    </row>
    <row r="852">
      <c r="C852" s="3"/>
    </row>
    <row r="853">
      <c r="C853" s="3"/>
    </row>
    <row r="854">
      <c r="C854" s="3"/>
    </row>
    <row r="855">
      <c r="C855" s="3"/>
    </row>
    <row r="856">
      <c r="C856" s="3"/>
    </row>
    <row r="857">
      <c r="C857" s="3"/>
    </row>
    <row r="858">
      <c r="C858" s="3"/>
    </row>
    <row r="859">
      <c r="C859" s="3"/>
    </row>
    <row r="860">
      <c r="C860" s="3"/>
    </row>
    <row r="861">
      <c r="C861" s="3"/>
    </row>
    <row r="862">
      <c r="C862" s="3"/>
    </row>
    <row r="863">
      <c r="C863" s="3"/>
    </row>
    <row r="864">
      <c r="C864" s="3"/>
    </row>
    <row r="865">
      <c r="C865" s="3"/>
    </row>
    <row r="866">
      <c r="C866" s="3"/>
    </row>
    <row r="867">
      <c r="C867" s="3"/>
    </row>
    <row r="868">
      <c r="C868" s="3"/>
    </row>
    <row r="869">
      <c r="C869" s="3"/>
    </row>
    <row r="870">
      <c r="C870" s="3"/>
    </row>
    <row r="871">
      <c r="C871" s="3"/>
    </row>
    <row r="872">
      <c r="C872" s="3"/>
    </row>
    <row r="873">
      <c r="C873" s="3"/>
    </row>
    <row r="874">
      <c r="C874" s="3"/>
    </row>
    <row r="875">
      <c r="C875" s="3"/>
    </row>
    <row r="876">
      <c r="C876" s="3"/>
    </row>
    <row r="877">
      <c r="C877" s="3"/>
    </row>
    <row r="878">
      <c r="C878" s="3"/>
    </row>
    <row r="879">
      <c r="C879" s="3"/>
    </row>
    <row r="880">
      <c r="C880" s="3"/>
    </row>
    <row r="881">
      <c r="C881" s="3"/>
    </row>
    <row r="882">
      <c r="C882" s="3"/>
    </row>
    <row r="883">
      <c r="C883" s="3"/>
    </row>
    <row r="884">
      <c r="C884" s="3"/>
    </row>
    <row r="885">
      <c r="C885" s="3"/>
    </row>
    <row r="886">
      <c r="C886" s="3"/>
    </row>
    <row r="887">
      <c r="C887" s="3"/>
    </row>
    <row r="888">
      <c r="C888" s="3"/>
    </row>
    <row r="889">
      <c r="C889" s="3"/>
    </row>
    <row r="890">
      <c r="C890" s="3"/>
    </row>
    <row r="891">
      <c r="C891" s="3"/>
    </row>
    <row r="892">
      <c r="C892" s="3"/>
    </row>
    <row r="893">
      <c r="C893" s="3"/>
    </row>
    <row r="894">
      <c r="C894" s="3"/>
    </row>
    <row r="895">
      <c r="C895" s="3"/>
    </row>
    <row r="896">
      <c r="C896" s="3"/>
    </row>
    <row r="897">
      <c r="C897" s="3"/>
    </row>
    <row r="898">
      <c r="C898" s="3"/>
    </row>
    <row r="899">
      <c r="C899" s="3"/>
    </row>
    <row r="900">
      <c r="C900" s="3"/>
    </row>
    <row r="901">
      <c r="C901" s="3"/>
    </row>
    <row r="902">
      <c r="C902" s="3"/>
    </row>
    <row r="903">
      <c r="C903" s="3"/>
    </row>
    <row r="904">
      <c r="C904" s="3"/>
    </row>
    <row r="905">
      <c r="C905" s="3"/>
    </row>
    <row r="906">
      <c r="C906" s="3"/>
    </row>
    <row r="907">
      <c r="C907" s="3"/>
    </row>
    <row r="908">
      <c r="C908" s="3"/>
    </row>
    <row r="909">
      <c r="C909" s="3"/>
    </row>
    <row r="910">
      <c r="C910" s="3"/>
    </row>
    <row r="911">
      <c r="C911" s="3"/>
    </row>
    <row r="912">
      <c r="C912" s="3"/>
    </row>
    <row r="913">
      <c r="C913" s="3"/>
    </row>
    <row r="914">
      <c r="C914" s="3"/>
    </row>
    <row r="915">
      <c r="C915" s="3"/>
    </row>
    <row r="916">
      <c r="C916" s="3"/>
    </row>
    <row r="917">
      <c r="C917" s="3"/>
    </row>
    <row r="918">
      <c r="C918" s="3"/>
    </row>
    <row r="919">
      <c r="C919" s="3"/>
    </row>
    <row r="920">
      <c r="C920" s="3"/>
    </row>
    <row r="921">
      <c r="C921" s="3"/>
    </row>
    <row r="922">
      <c r="C922" s="3"/>
    </row>
    <row r="923">
      <c r="C923" s="3"/>
    </row>
    <row r="924">
      <c r="C924" s="3"/>
    </row>
    <row r="925">
      <c r="C925" s="3"/>
    </row>
    <row r="926">
      <c r="C926" s="3"/>
    </row>
    <row r="927">
      <c r="C927" s="3"/>
    </row>
    <row r="928">
      <c r="C928" s="3"/>
    </row>
    <row r="929">
      <c r="C929" s="3"/>
    </row>
    <row r="930">
      <c r="C930" s="3"/>
    </row>
    <row r="931">
      <c r="C931" s="3"/>
    </row>
    <row r="932">
      <c r="C932" s="3"/>
    </row>
    <row r="933">
      <c r="C933" s="3"/>
    </row>
    <row r="934">
      <c r="C934" s="3"/>
    </row>
    <row r="935">
      <c r="C935" s="3"/>
    </row>
    <row r="936">
      <c r="C936" s="3"/>
    </row>
    <row r="937">
      <c r="C937" s="3"/>
    </row>
    <row r="938">
      <c r="C938" s="3"/>
    </row>
    <row r="939">
      <c r="C939" s="3"/>
    </row>
    <row r="940">
      <c r="C940" s="3"/>
    </row>
    <row r="941">
      <c r="C941" s="3"/>
    </row>
    <row r="942">
      <c r="C942" s="3"/>
    </row>
    <row r="943">
      <c r="C943" s="3"/>
    </row>
    <row r="944">
      <c r="C944" s="3"/>
    </row>
    <row r="945">
      <c r="C945" s="3"/>
    </row>
    <row r="946">
      <c r="C946" s="3"/>
    </row>
    <row r="947">
      <c r="C947" s="3"/>
    </row>
    <row r="948">
      <c r="C948" s="3"/>
    </row>
    <row r="949">
      <c r="C949" s="3"/>
    </row>
    <row r="950">
      <c r="C950" s="3"/>
    </row>
    <row r="951">
      <c r="C951" s="3"/>
    </row>
    <row r="952">
      <c r="C952" s="3"/>
    </row>
    <row r="953">
      <c r="C953" s="3"/>
    </row>
    <row r="954">
      <c r="C954" s="3"/>
    </row>
    <row r="955">
      <c r="C955" s="3"/>
    </row>
    <row r="956">
      <c r="C956" s="3"/>
    </row>
    <row r="957">
      <c r="C957" s="3"/>
    </row>
    <row r="958">
      <c r="C958" s="3"/>
    </row>
    <row r="959">
      <c r="C959" s="3"/>
    </row>
    <row r="960">
      <c r="C960" s="3"/>
    </row>
    <row r="961">
      <c r="C961" s="3"/>
    </row>
    <row r="962">
      <c r="C962" s="3"/>
    </row>
    <row r="963">
      <c r="C963" s="3"/>
    </row>
    <row r="964">
      <c r="C964" s="3"/>
    </row>
    <row r="965">
      <c r="C965" s="3"/>
    </row>
    <row r="966">
      <c r="C966" s="3"/>
    </row>
    <row r="967">
      <c r="C967" s="3"/>
    </row>
    <row r="968">
      <c r="C968" s="3"/>
    </row>
    <row r="969">
      <c r="C969" s="3"/>
    </row>
    <row r="970">
      <c r="C970" s="3"/>
    </row>
    <row r="971">
      <c r="C971" s="3"/>
    </row>
    <row r="972">
      <c r="C972" s="3"/>
    </row>
    <row r="973">
      <c r="C973" s="3"/>
    </row>
    <row r="974">
      <c r="C974" s="3"/>
    </row>
    <row r="975">
      <c r="C975" s="3"/>
    </row>
    <row r="976">
      <c r="C976" s="3"/>
    </row>
    <row r="977">
      <c r="C977" s="3"/>
    </row>
    <row r="978">
      <c r="C978" s="3"/>
    </row>
    <row r="979">
      <c r="C979" s="3"/>
    </row>
    <row r="980">
      <c r="C980" s="3"/>
    </row>
    <row r="981">
      <c r="C981" s="3"/>
    </row>
    <row r="982">
      <c r="C982" s="3"/>
    </row>
    <row r="983">
      <c r="C983" s="3"/>
    </row>
    <row r="984">
      <c r="C984" s="3"/>
    </row>
    <row r="985">
      <c r="C985" s="3"/>
    </row>
    <row r="986">
      <c r="C986" s="3"/>
    </row>
    <row r="987">
      <c r="C987" s="3"/>
    </row>
    <row r="988">
      <c r="C988" s="3"/>
    </row>
    <row r="989">
      <c r="C989" s="3"/>
    </row>
    <row r="990">
      <c r="C990" s="3"/>
    </row>
    <row r="991">
      <c r="C991" s="3"/>
    </row>
    <row r="992">
      <c r="C992" s="3"/>
    </row>
    <row r="993">
      <c r="C993" s="3"/>
    </row>
    <row r="994">
      <c r="C994" s="3"/>
    </row>
    <row r="995">
      <c r="C995" s="3"/>
    </row>
    <row r="996">
      <c r="C996" s="3"/>
    </row>
    <row r="997">
      <c r="C997" s="3"/>
    </row>
    <row r="998">
      <c r="C998" s="3"/>
    </row>
    <row r="999">
      <c r="C999" s="3"/>
    </row>
    <row r="1000">
      <c r="C1000" s="3"/>
    </row>
  </sheetData>
  <drawing r:id="rId1"/>
</worksheet>
</file>